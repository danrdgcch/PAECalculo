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"/>
    </mc:Choice>
  </mc:AlternateContent>
  <xr:revisionPtr revIDLastSave="501" documentId="8_{BF8756A7-8D9E-4219-9C04-A4DFABB4AF18}" xr6:coauthVersionLast="47" xr6:coauthVersionMax="47" xr10:uidLastSave="{B8950F88-0EFB-4A05-B036-02F3DAB6CF58}"/>
  <bookViews>
    <workbookView xWindow="-110" yWindow="-110" windowWidth="25820" windowHeight="15500" xr2:uid="{A28C854B-A77E-46B1-A182-09A41166C6FC}"/>
  </bookViews>
  <sheets>
    <sheet name="Hoja1" sheetId="1" r:id="rId1"/>
  </sheets>
  <definedNames>
    <definedName name="_xlnm._FilterDatabase" localSheetId="0" hidden="1">Hoja1!$A$1:$V$43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9" i="1" l="1"/>
  <c r="G36" i="1"/>
  <c r="G27" i="1"/>
  <c r="T27" i="1"/>
  <c r="U27" i="1" s="1"/>
  <c r="T36" i="1"/>
  <c r="U36" i="1" s="1"/>
  <c r="T2" i="1"/>
  <c r="U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8" i="1"/>
  <c r="K29" i="1"/>
  <c r="K30" i="1"/>
  <c r="K31" i="1"/>
  <c r="K32" i="1"/>
  <c r="K33" i="1"/>
  <c r="K34" i="1"/>
  <c r="K35" i="1"/>
  <c r="K37" i="1"/>
  <c r="K38" i="1"/>
  <c r="K40" i="1"/>
  <c r="K41" i="1"/>
  <c r="K2" i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7" i="1"/>
  <c r="U37" i="1" s="1"/>
  <c r="T38" i="1"/>
  <c r="U38" i="1" s="1"/>
  <c r="T40" i="1"/>
  <c r="U40" i="1" s="1"/>
  <c r="T41" i="1"/>
  <c r="U41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8" i="1"/>
  <c r="I29" i="1"/>
  <c r="I30" i="1"/>
  <c r="I31" i="1"/>
  <c r="I32" i="1"/>
  <c r="I33" i="1"/>
  <c r="I34" i="1"/>
  <c r="I35" i="1"/>
  <c r="I37" i="1"/>
  <c r="I38" i="1"/>
  <c r="I40" i="1"/>
  <c r="I4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7" i="1"/>
  <c r="G38" i="1"/>
  <c r="G40" i="1"/>
  <c r="G41" i="1"/>
  <c r="G2" i="1"/>
  <c r="E40" i="1" l="1"/>
  <c r="E38" i="1"/>
  <c r="E22" i="1"/>
  <c r="E21" i="1"/>
  <c r="E20" i="1"/>
  <c r="E37" i="1"/>
  <c r="E18" i="1"/>
  <c r="E6" i="1"/>
  <c r="E34" i="1"/>
  <c r="E14" i="1"/>
  <c r="E30" i="1"/>
  <c r="E13" i="1"/>
  <c r="E29" i="1"/>
  <c r="E5" i="1"/>
  <c r="E19" i="1"/>
  <c r="E17" i="1"/>
  <c r="E35" i="1"/>
  <c r="E3" i="1"/>
  <c r="E32" i="1"/>
  <c r="E4" i="1"/>
  <c r="E33" i="1"/>
  <c r="E16" i="1"/>
  <c r="E31" i="1"/>
  <c r="E15" i="1"/>
  <c r="E28" i="1"/>
  <c r="E12" i="1"/>
  <c r="E26" i="1"/>
  <c r="E11" i="1"/>
  <c r="E25" i="1"/>
  <c r="E10" i="1"/>
  <c r="E24" i="1"/>
  <c r="E9" i="1"/>
  <c r="E23" i="1"/>
  <c r="E8" i="1"/>
  <c r="E41" i="1"/>
  <c r="E7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tc={052A40F9-ED63-4A83-8779-FCCCF426C242}</author>
  </authors>
  <commentList>
    <comment ref="B14" authorId="0" shapeId="0" xr:uid="{052A40F9-ED63-4A83-8779-FCCCF426C2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Paso en ordinario</t>
      </text>
    </comment>
  </commentList>
</comments>
</file>

<file path=xl/sharedStrings.xml><?xml version="1.0" encoding="utf-8"?>
<sst xmlns="http://schemas.openxmlformats.org/spreadsheetml/2006/main" count="140" uniqueCount="100">
  <si>
    <t>No.</t>
  </si>
  <si>
    <t>Nombre</t>
  </si>
  <si>
    <t>Nombre de Pila</t>
  </si>
  <si>
    <t>Promedio Khan Academy</t>
  </si>
  <si>
    <t>Examen Final</t>
  </si>
  <si>
    <t>Porcentaje de Examen final 20%</t>
  </si>
  <si>
    <t>Final provisional</t>
  </si>
  <si>
    <t>Final DGAE</t>
  </si>
  <si>
    <t>Porcentaje Khan Academy 50%</t>
  </si>
  <si>
    <t>Calificacion Video explicación</t>
  </si>
  <si>
    <t>Porcentaje del video 15%</t>
  </si>
  <si>
    <t>Apuntes S1</t>
  </si>
  <si>
    <t>Apuntes S2</t>
  </si>
  <si>
    <t>Apuntes S3</t>
  </si>
  <si>
    <t>Apuntes S4</t>
  </si>
  <si>
    <t>Apuntes S5</t>
  </si>
  <si>
    <t>Apuntes S6</t>
  </si>
  <si>
    <t>Apuntes S7</t>
  </si>
  <si>
    <t>Apuntes S8</t>
  </si>
  <si>
    <t>Promedio Apuntes</t>
  </si>
  <si>
    <t>Porcentaje de apuntes 15%</t>
  </si>
  <si>
    <t>AGUILAR VALENTIN CINTHYA INES</t>
  </si>
  <si>
    <t>ARMENDARIZ CRUZ ALISSON ABIGAIL</t>
  </si>
  <si>
    <t>AUSTRIA VELAZQUEZ REGINA</t>
  </si>
  <si>
    <t>BUSTOS CARBAJAL ISRAEL ADONAI</t>
  </si>
  <si>
    <t>CAPETILLO ROSALES LILITH ARHELY</t>
  </si>
  <si>
    <t>CASTILLO REYES ZOE GAEL</t>
  </si>
  <si>
    <t>CHAGOYA CRUCES FABIOLA JAZMIN</t>
  </si>
  <si>
    <t>CHAVEZ AGUILAR FERNANDA VALERIA</t>
  </si>
  <si>
    <t>CONTRERAS GARCIA ALAN MIHAI</t>
  </si>
  <si>
    <t>CORTEZ CRUZ ARIADNA YAMILET</t>
  </si>
  <si>
    <t>CRUZ MARTINEZ DYLAN MARTIN</t>
  </si>
  <si>
    <t>DE LA CRUZ MENDOZA ANGEL AZKARY</t>
  </si>
  <si>
    <t>FLORES CUREÑO ERANDI</t>
  </si>
  <si>
    <t>GUZMAN CALIHUA ERIK LEONEL</t>
  </si>
  <si>
    <t>HERNANDEZ NAVARRO FERNANDO</t>
  </si>
  <si>
    <t>HERNANDEZ TERAN ANGEL DANIEL</t>
  </si>
  <si>
    <t>HERNANDEZ VILLATORO CHRISTOPHER DAVID</t>
  </si>
  <si>
    <t>JIMENEZ VARGAS GAEL ENRIQUE</t>
  </si>
  <si>
    <t>JIMENEZ VARGAS LEONARDO IÑAKY</t>
  </si>
  <si>
    <t>LARIOS HERNANDEZ VALERIA</t>
  </si>
  <si>
    <t>LEON OLVERA SANTIAGO</t>
  </si>
  <si>
    <t>MARTINEZ MENDEZ JANINA GISSELLE</t>
  </si>
  <si>
    <t>MEJIA GOMEZ MELANIE JAZMIN</t>
  </si>
  <si>
    <t>MELGAREJO VIVEROS MELANIE</t>
  </si>
  <si>
    <t>MEZA ZUÑIGA DIANA ANDREA</t>
  </si>
  <si>
    <t>MONTIEL VAZQUEZ OSCAR ARIEL</t>
  </si>
  <si>
    <t>ORTIZ RAMIREZ URIEL</t>
  </si>
  <si>
    <t>PEÑA MORALES ANGEL GABRIEL</t>
  </si>
  <si>
    <t>PERES ROMERO CHRISTOPHER</t>
  </si>
  <si>
    <t>PEREZ CHAVEZ SERGIO DANIEL</t>
  </si>
  <si>
    <t>PINEDA YAÑEZ ABIGAIL REGINA</t>
  </si>
  <si>
    <t>RODRIGUEZ WATLA JENNIFER</t>
  </si>
  <si>
    <t>ROMERO AVILA ERNESTO</t>
  </si>
  <si>
    <t>SANCHEZ REYES ABRIL YUSELMI</t>
  </si>
  <si>
    <t>SOTO ROJAS ROBERT</t>
  </si>
  <si>
    <t>VALERIO MANCILLA JOEL DAVID</t>
  </si>
  <si>
    <t>ZAVALA RIVERA ANGEL EDUARDO</t>
  </si>
  <si>
    <t>Cinthya</t>
  </si>
  <si>
    <t>Alisson</t>
  </si>
  <si>
    <t>Israel</t>
  </si>
  <si>
    <t>Lilith</t>
  </si>
  <si>
    <t>Zoe</t>
  </si>
  <si>
    <t>Fabiola</t>
  </si>
  <si>
    <t>Fernanda</t>
  </si>
  <si>
    <t>Alan</t>
  </si>
  <si>
    <t>Ariadna</t>
  </si>
  <si>
    <t>Dylan</t>
  </si>
  <si>
    <t>Angel</t>
  </si>
  <si>
    <t>Erik</t>
  </si>
  <si>
    <t>Christopher</t>
  </si>
  <si>
    <t>Gael</t>
  </si>
  <si>
    <t>Leonardo</t>
  </si>
  <si>
    <t>Janina</t>
  </si>
  <si>
    <t>Melanie</t>
  </si>
  <si>
    <t>Diana</t>
  </si>
  <si>
    <t>Oscar</t>
  </si>
  <si>
    <t>Sergio</t>
  </si>
  <si>
    <t>Abigail</t>
  </si>
  <si>
    <t>Abril</t>
  </si>
  <si>
    <t>Joel</t>
  </si>
  <si>
    <t>Regina</t>
  </si>
  <si>
    <t>Cruz</t>
  </si>
  <si>
    <t>Erandi</t>
  </si>
  <si>
    <t>Fernando</t>
  </si>
  <si>
    <t>Valeria</t>
  </si>
  <si>
    <t>Santiago</t>
  </si>
  <si>
    <t>Uriel</t>
  </si>
  <si>
    <t>Jennifer</t>
  </si>
  <si>
    <t>Ernesto</t>
  </si>
  <si>
    <t>Robert</t>
  </si>
  <si>
    <t>Melanie Jazmin</t>
  </si>
  <si>
    <t>MIRANDA CAMACHO DIEGO IVAN</t>
  </si>
  <si>
    <t>En Khan Academy</t>
  </si>
  <si>
    <t>Si</t>
  </si>
  <si>
    <t>No</t>
  </si>
  <si>
    <t>RUELAS GARCIA FERNANDO JAEL</t>
  </si>
  <si>
    <t>TORRES BAUTISTA MIZAEL MATEO</t>
  </si>
  <si>
    <t>Mizael</t>
  </si>
  <si>
    <t>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</si>
</sst>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entury Schoolbook"/>
      <family val="1"/>
    </font>
    <font>
      <sz val="11"/>
      <name val="Segoe U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0" fillId="33" borderId="0" xfId="0" applyFill="1"/>
    <xf numFmtId="0" fontId="18" fillId="34" borderId="0" xfId="0" applyFont="1" applyFill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79321F0B-D330-486E-8409-7FC7843325D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ill>
        <patternFill patternType="solid">
          <bgColor rgb="FFE7E7F7"/>
        </patternFill>
      </fill>
    </dxf>
    <dxf>
      <font>
        <b/>
        <sz val="11"/>
        <color rgb="FFFFFFFF"/>
        <name val="Segoe UI"/>
      </font>
      <fill>
        <patternFill patternType="solid">
          <fgColor rgb="FF5B5FC7"/>
          <bgColor rgb="FF5B5FC7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Assignments Export" pivot="0" count="2" xr9:uid="{1602111D-03B8-44FB-98AB-960B1D3BAED5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Rodriguez García" id="{9168BD70-32BC-4B19-A967-B334A1A220DF}" userId="1548567a393db7db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6-05-24T16:47:22.11" personId="{9168BD70-32BC-4B19-A967-B334A1A220DF}" id="{052A40F9-ED63-4A83-8779-FCCCF426C242}">
    <text>Paso en ordinario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E368-B81F-4575-8C81-D1F6583D781B}">
  <dimension ref="A1:V43"/>
  <sheetViews>
    <sheetView tabSelected="1" zoomScale="116" zoomScaleNormal="115" workbookViewId="0">
      <selection activeCell="C14" sqref="C14"/>
    </sheetView>
  </sheetViews>
  <sheetFormatPr baseColWidth="10" defaultRowHeight="14.5" x14ac:dyDescent="0.35"/>
  <cols>
    <col min="1" max="1" width="18.1796875" customWidth="1"/>
    <col min="2" max="2" width="46.81640625" customWidth="1"/>
    <col min="3" max="3" width="13.54296875" customWidth="1"/>
    <col min="4" max="4" width="6.54296875" customWidth="1"/>
    <col min="5" max="5" width="12" customWidth="1"/>
    <col min="6" max="6" width="11.453125" customWidth="1"/>
    <col min="7" max="7" width="10.81640625" customWidth="1"/>
    <col min="8" max="8" width="9.1796875" customWidth="1"/>
    <col min="9" max="9" width="10.81640625" customWidth="1"/>
    <col min="10" max="10" width="11.453125" customWidth="1"/>
    <col min="11" max="11" width="10.81640625" customWidth="1"/>
    <col min="12" max="19" width="7.81640625" customWidth="1"/>
    <col min="20" max="20" width="9.453125" customWidth="1"/>
    <col min="21" max="21" width="10.81640625" customWidth="1"/>
  </cols>
  <sheetData>
    <row r="1" spans="1:22" ht="58" x14ac:dyDescent="0.35">
      <c r="A1" s="1" t="s">
        <v>0</v>
      </c>
      <c r="B1" s="1" t="s">
        <v>1</v>
      </c>
      <c r="C1" s="1" t="s">
        <v>2</v>
      </c>
      <c r="D1" s="2" t="s">
        <v>7</v>
      </c>
      <c r="E1" s="2" t="s">
        <v>6</v>
      </c>
      <c r="F1" s="2" t="s">
        <v>3</v>
      </c>
      <c r="G1" s="3" t="s">
        <v>8</v>
      </c>
      <c r="H1" s="2" t="s">
        <v>4</v>
      </c>
      <c r="I1" s="3" t="s">
        <v>5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93</v>
      </c>
    </row>
    <row r="2" spans="1:22" x14ac:dyDescent="0.35">
      <c r="A2">
        <v>324013061</v>
      </c>
      <c r="B2" s="4" t="s">
        <v>21</v>
      </c>
      <c r="C2" t="s">
        <v>58</v>
      </c>
      <c r="E2">
        <f>G2+I2+K2+U2</f>
        <v>6.3949999999999996</v>
      </c>
      <c r="F2">
        <v>9.7899999999999991</v>
      </c>
      <c r="G2" s="5">
        <f>F2*0.5</f>
        <v>4.8949999999999996</v>
      </c>
      <c r="I2" s="5">
        <f>H2*0.2</f>
        <v>0</v>
      </c>
      <c r="K2" s="5">
        <f>J2*0.15</f>
        <v>0</v>
      </c>
      <c r="L2">
        <v>10</v>
      </c>
      <c r="M2">
        <v>10</v>
      </c>
      <c r="N2">
        <v>10</v>
      </c>
      <c r="O2">
        <v>10</v>
      </c>
      <c r="T2">
        <f>AVERAGE(L2:S2)</f>
        <v>10</v>
      </c>
      <c r="U2" s="5">
        <f>T2*0.15</f>
        <v>1.5</v>
      </c>
      <c r="V2" t="s">
        <v>94</v>
      </c>
    </row>
    <row r="3" spans="1:22" x14ac:dyDescent="0.35">
      <c r="A3">
        <v>324076235</v>
      </c>
      <c r="B3" s="6" t="s">
        <v>22</v>
      </c>
      <c r="C3" t="s">
        <v>59</v>
      </c>
      <c r="E3">
        <f>G3+I3+K3+U3</f>
        <v>0</v>
      </c>
      <c r="F3">
        <v>0</v>
      </c>
      <c r="G3" s="5">
        <f>F3*0.5</f>
        <v>0</v>
      </c>
      <c r="I3" s="5">
        <f>H3*0.2</f>
        <v>0</v>
      </c>
      <c r="K3" s="5">
        <f>J3*0.15</f>
        <v>0</v>
      </c>
      <c r="L3">
        <v>0</v>
      </c>
      <c r="M3">
        <v>0</v>
      </c>
      <c r="O3">
        <v>0</v>
      </c>
      <c r="T3">
        <f>AVERAGE(L3:S3)</f>
        <v>0</v>
      </c>
      <c r="U3" s="5">
        <f>T3*0.15</f>
        <v>0</v>
      </c>
      <c r="V3" t="s">
        <v>95</v>
      </c>
    </row>
    <row r="4" spans="1:22" x14ac:dyDescent="0.35">
      <c r="A4">
        <v>324048010</v>
      </c>
      <c r="B4" s="4" t="s">
        <v>23</v>
      </c>
      <c r="C4" t="s">
        <v>81</v>
      </c>
      <c r="E4">
        <f>G4+I4+K4+U4</f>
        <v>6.4349999999999996</v>
      </c>
      <c r="F4">
        <v>9.8699999999999992</v>
      </c>
      <c r="G4" s="5">
        <f>F4*0.5</f>
        <v>4.9349999999999996</v>
      </c>
      <c r="I4" s="5">
        <f>H4*0.2</f>
        <v>0</v>
      </c>
      <c r="K4" s="5">
        <f>J4*0.15</f>
        <v>0</v>
      </c>
      <c r="L4">
        <v>10</v>
      </c>
      <c r="M4">
        <v>10</v>
      </c>
      <c r="N4">
        <v>10</v>
      </c>
      <c r="O4">
        <v>10</v>
      </c>
      <c r="T4">
        <f>AVERAGE(L4:S4)</f>
        <v>10</v>
      </c>
      <c r="U4" s="5">
        <f>T4*0.15</f>
        <v>1.5</v>
      </c>
      <c r="V4" t="s">
        <v>94</v>
      </c>
    </row>
    <row r="5" spans="1:22" x14ac:dyDescent="0.35">
      <c r="A5">
        <v>324002463</v>
      </c>
      <c r="B5" s="4" t="s">
        <v>24</v>
      </c>
      <c r="C5" t="s">
        <v>60</v>
      </c>
      <c r="E5">
        <f>G5+I5+K5+U5</f>
        <v>5.69</v>
      </c>
      <c r="F5">
        <v>8.3800000000000008</v>
      </c>
      <c r="G5" s="5">
        <f>F5*0.5</f>
        <v>4.1900000000000004</v>
      </c>
      <c r="I5" s="5">
        <f>H5*0.2</f>
        <v>0</v>
      </c>
      <c r="K5" s="5">
        <f>J5*0.15</f>
        <v>0</v>
      </c>
      <c r="L5">
        <v>10</v>
      </c>
      <c r="M5">
        <v>10</v>
      </c>
      <c r="N5">
        <v>10</v>
      </c>
      <c r="O5">
        <v>10</v>
      </c>
      <c r="T5">
        <f>AVERAGE(L5:S5)</f>
        <v>10</v>
      </c>
      <c r="U5" s="5">
        <f>T5*0.15</f>
        <v>1.5</v>
      </c>
      <c r="V5" t="s">
        <v>94</v>
      </c>
    </row>
    <row r="6" spans="1:22" x14ac:dyDescent="0.35">
      <c r="A6">
        <v>324061828</v>
      </c>
      <c r="B6" s="4" t="s">
        <v>25</v>
      </c>
      <c r="C6" t="s">
        <v>61</v>
      </c>
      <c r="E6">
        <f>G6+I6+K6+U6</f>
        <v>6.5</v>
      </c>
      <c r="F6">
        <v>10</v>
      </c>
      <c r="G6" s="5">
        <f>F6*0.5</f>
        <v>5</v>
      </c>
      <c r="I6" s="5">
        <f>H6*0.2</f>
        <v>0</v>
      </c>
      <c r="K6" s="5">
        <f>J6*0.15</f>
        <v>0</v>
      </c>
      <c r="L6">
        <v>10</v>
      </c>
      <c r="M6">
        <v>10</v>
      </c>
      <c r="N6">
        <v>10</v>
      </c>
      <c r="O6">
        <v>10</v>
      </c>
      <c r="T6">
        <f>AVERAGE(L6:S6)</f>
        <v>10</v>
      </c>
      <c r="U6" s="5">
        <f>T6*0.15</f>
        <v>1.5</v>
      </c>
      <c r="V6" t="s">
        <v>94</v>
      </c>
    </row>
    <row r="7" spans="1:22" x14ac:dyDescent="0.35">
      <c r="A7">
        <v>323267845</v>
      </c>
      <c r="B7" s="6" t="s">
        <v>26</v>
      </c>
      <c r="C7" t="s">
        <v>62</v>
      </c>
      <c r="E7">
        <f>G7+I7+K7+U7</f>
        <v>0</v>
      </c>
      <c r="F7">
        <v>0</v>
      </c>
      <c r="G7" s="5">
        <f>F7*0.5</f>
        <v>0</v>
      </c>
      <c r="I7" s="5">
        <f>H7*0.2</f>
        <v>0</v>
      </c>
      <c r="K7" s="5">
        <f>J7*0.15</f>
        <v>0</v>
      </c>
      <c r="L7">
        <v>0</v>
      </c>
      <c r="M7">
        <v>0</v>
      </c>
      <c r="N7">
        <v>0</v>
      </c>
      <c r="O7">
        <v>0</v>
      </c>
      <c r="T7">
        <f>AVERAGE(L7:S7)</f>
        <v>0</v>
      </c>
      <c r="U7" s="5">
        <f>T7*0.15</f>
        <v>0</v>
      </c>
      <c r="V7" t="s">
        <v>95</v>
      </c>
    </row>
    <row r="8" spans="1:22" x14ac:dyDescent="0.35">
      <c r="A8">
        <v>324067930</v>
      </c>
      <c r="B8" s="4" t="s">
        <v>27</v>
      </c>
      <c r="C8" t="s">
        <v>63</v>
      </c>
      <c r="E8">
        <f>G8+I8+K8+U8</f>
        <v>6.5</v>
      </c>
      <c r="F8">
        <v>10</v>
      </c>
      <c r="G8" s="5">
        <f>F8*0.5</f>
        <v>5</v>
      </c>
      <c r="I8" s="5">
        <f>H8*0.2</f>
        <v>0</v>
      </c>
      <c r="K8" s="5">
        <f>J8*0.15</f>
        <v>0</v>
      </c>
      <c r="L8">
        <v>10</v>
      </c>
      <c r="M8">
        <v>10</v>
      </c>
      <c r="N8">
        <v>10</v>
      </c>
      <c r="O8">
        <v>10</v>
      </c>
      <c r="T8">
        <f>AVERAGE(L8:S8)</f>
        <v>10</v>
      </c>
      <c r="U8" s="5">
        <f>T8*0.15</f>
        <v>1.5</v>
      </c>
      <c r="V8" t="s">
        <v>94</v>
      </c>
    </row>
    <row r="9" spans="1:22" x14ac:dyDescent="0.35">
      <c r="A9">
        <v>324025233</v>
      </c>
      <c r="B9" s="6" t="s">
        <v>28</v>
      </c>
      <c r="C9" t="s">
        <v>64</v>
      </c>
      <c r="E9">
        <f>G9+I9+K9+U9</f>
        <v>0</v>
      </c>
      <c r="F9">
        <v>0</v>
      </c>
      <c r="G9" s="5">
        <f>F9*0.5</f>
        <v>0</v>
      </c>
      <c r="I9" s="5">
        <f>H9*0.2</f>
        <v>0</v>
      </c>
      <c r="K9" s="5">
        <f>J9*0.15</f>
        <v>0</v>
      </c>
      <c r="L9">
        <v>0</v>
      </c>
      <c r="M9">
        <v>0</v>
      </c>
      <c r="N9">
        <v>0</v>
      </c>
      <c r="O9">
        <v>0</v>
      </c>
      <c r="T9">
        <f>AVERAGE(L9:S9)</f>
        <v>0</v>
      </c>
      <c r="U9" s="5">
        <f>T9*0.15</f>
        <v>0</v>
      </c>
      <c r="V9" t="s">
        <v>95</v>
      </c>
    </row>
    <row r="10" spans="1:22" x14ac:dyDescent="0.35">
      <c r="A10">
        <v>324084203</v>
      </c>
      <c r="B10" s="4" t="s">
        <v>29</v>
      </c>
      <c r="C10" t="s">
        <v>65</v>
      </c>
      <c r="E10">
        <f>G10+I10+K10+U10</f>
        <v>6.5</v>
      </c>
      <c r="F10">
        <v>10</v>
      </c>
      <c r="G10" s="5">
        <f>F10*0.5</f>
        <v>5</v>
      </c>
      <c r="I10" s="5">
        <f>H10*0.2</f>
        <v>0</v>
      </c>
      <c r="K10" s="5">
        <f>J10*0.15</f>
        <v>0</v>
      </c>
      <c r="L10">
        <v>10</v>
      </c>
      <c r="M10">
        <v>10</v>
      </c>
      <c r="N10">
        <v>10</v>
      </c>
      <c r="O10">
        <v>10</v>
      </c>
      <c r="T10">
        <f>AVERAGE(L10:S10)</f>
        <v>10</v>
      </c>
      <c r="U10" s="5">
        <f>T10*0.15</f>
        <v>1.5</v>
      </c>
      <c r="V10" t="s">
        <v>94</v>
      </c>
    </row>
    <row r="11" spans="1:22" x14ac:dyDescent="0.35">
      <c r="A11">
        <v>323250434</v>
      </c>
      <c r="B11" s="6" t="s">
        <v>30</v>
      </c>
      <c r="C11" t="s">
        <v>66</v>
      </c>
      <c r="E11">
        <f>G11+I11+K11+U11</f>
        <v>5.375</v>
      </c>
      <c r="F11">
        <v>10</v>
      </c>
      <c r="G11" s="5">
        <f>F11*0.5</f>
        <v>5</v>
      </c>
      <c r="I11" s="5">
        <f>H11*0.2</f>
        <v>0</v>
      </c>
      <c r="K11" s="5">
        <f>J11*0.15</f>
        <v>0</v>
      </c>
      <c r="L11">
        <v>10</v>
      </c>
      <c r="M11">
        <v>0</v>
      </c>
      <c r="N11">
        <v>0</v>
      </c>
      <c r="O11">
        <v>0</v>
      </c>
      <c r="T11">
        <f>AVERAGE(L11:S11)</f>
        <v>2.5</v>
      </c>
      <c r="U11" s="5">
        <f>T11*0.15</f>
        <v>0.375</v>
      </c>
      <c r="V11" t="s">
        <v>94</v>
      </c>
    </row>
    <row r="12" spans="1:22" x14ac:dyDescent="0.35">
      <c r="A12">
        <v>324016859</v>
      </c>
      <c r="B12" s="6" t="s">
        <v>31</v>
      </c>
      <c r="C12" t="s">
        <v>67</v>
      </c>
      <c r="E12">
        <f>G12+I12+K12+U12</f>
        <v>0</v>
      </c>
      <c r="F12">
        <v>0</v>
      </c>
      <c r="G12" s="5">
        <f>F12*0.5</f>
        <v>0</v>
      </c>
      <c r="I12" s="5">
        <f>H12*0.2</f>
        <v>0</v>
      </c>
      <c r="K12" s="5">
        <f>J12*0.15</f>
        <v>0</v>
      </c>
      <c r="L12">
        <v>0</v>
      </c>
      <c r="M12">
        <v>0</v>
      </c>
      <c r="N12">
        <v>0</v>
      </c>
      <c r="O12">
        <v>0</v>
      </c>
      <c r="T12">
        <f>AVERAGE(L12:S12)</f>
        <v>0</v>
      </c>
      <c r="U12" s="5">
        <f>T12*0.15</f>
        <v>0</v>
      </c>
      <c r="V12" t="s">
        <v>95</v>
      </c>
    </row>
    <row r="13" spans="1:22" x14ac:dyDescent="0.35">
      <c r="A13">
        <v>324068267</v>
      </c>
      <c r="B13" s="4" t="s">
        <v>32</v>
      </c>
      <c r="C13" t="s">
        <v>82</v>
      </c>
      <c r="E13">
        <f>G13+I13+K13+U13</f>
        <v>6.5</v>
      </c>
      <c r="F13">
        <v>10</v>
      </c>
      <c r="G13" s="5">
        <f>F13*0.5</f>
        <v>5</v>
      </c>
      <c r="I13" s="5">
        <f>H13*0.2</f>
        <v>0</v>
      </c>
      <c r="K13" s="5">
        <f>J13*0.15</f>
        <v>0</v>
      </c>
      <c r="L13">
        <v>10</v>
      </c>
      <c r="M13">
        <v>10</v>
      </c>
      <c r="N13">
        <v>10</v>
      </c>
      <c r="O13">
        <v>10</v>
      </c>
      <c r="T13">
        <f>AVERAGE(L13:S13)</f>
        <v>10</v>
      </c>
      <c r="U13" s="5">
        <f>T13*0.15</f>
        <v>1.5</v>
      </c>
      <c r="V13" t="s">
        <v>94</v>
      </c>
    </row>
    <row r="14" spans="1:22" x14ac:dyDescent="0.35">
      <c r="A14">
        <v>324034026</v>
      </c>
      <c r="B14" s="6" t="s">
        <v>33</v>
      </c>
      <c r="C14" t="s">
        <v>83</v>
      </c>
      <c r="E14">
        <f>G14+I14+K14+U14</f>
        <v>0</v>
      </c>
      <c r="F14">
        <v>0</v>
      </c>
      <c r="G14" s="5">
        <f>F14*0.5</f>
        <v>0</v>
      </c>
      <c r="I14" s="5">
        <f>H14*0.2</f>
        <v>0</v>
      </c>
      <c r="K14" s="5">
        <f>J14*0.15</f>
        <v>0</v>
      </c>
      <c r="L14">
        <v>0</v>
      </c>
      <c r="M14">
        <v>0</v>
      </c>
      <c r="O14">
        <v>0</v>
      </c>
      <c r="T14">
        <f>AVERAGE(L14:S14)</f>
        <v>0</v>
      </c>
      <c r="U14" s="5">
        <f>T14*0.15</f>
        <v>0</v>
      </c>
      <c r="V14" t="s">
        <v>95</v>
      </c>
    </row>
    <row r="15" spans="1:22" x14ac:dyDescent="0.35">
      <c r="A15">
        <v>324004089</v>
      </c>
      <c r="B15" s="6" t="s">
        <v>34</v>
      </c>
      <c r="C15" t="s">
        <v>69</v>
      </c>
      <c r="E15">
        <f>G15+I15+K15+U15</f>
        <v>0</v>
      </c>
      <c r="F15">
        <v>0</v>
      </c>
      <c r="G15" s="5">
        <f>F15*0.5</f>
        <v>0</v>
      </c>
      <c r="I15" s="5">
        <f>H15*0.2</f>
        <v>0</v>
      </c>
      <c r="K15" s="5">
        <f>J15*0.15</f>
        <v>0</v>
      </c>
      <c r="L15">
        <v>0</v>
      </c>
      <c r="M15">
        <v>0</v>
      </c>
      <c r="N15">
        <v>0</v>
      </c>
      <c r="O15">
        <v>0</v>
      </c>
      <c r="T15">
        <f>AVERAGE(L15:S15)</f>
        <v>0</v>
      </c>
      <c r="U15" s="5">
        <f>T15*0.15</f>
        <v>0</v>
      </c>
      <c r="V15" t="s">
        <v>95</v>
      </c>
    </row>
    <row r="16" spans="1:22" x14ac:dyDescent="0.35">
      <c r="A16">
        <v>324018451</v>
      </c>
      <c r="B16" s="6" t="s">
        <v>35</v>
      </c>
      <c r="C16" t="s">
        <v>84</v>
      </c>
      <c r="E16">
        <f>G16+I16+K16+U16</f>
        <v>0.99</v>
      </c>
      <c r="F16">
        <v>1.23</v>
      </c>
      <c r="G16" s="5">
        <f>F16*0.5</f>
        <v>0.61499999999999999</v>
      </c>
      <c r="I16" s="5">
        <f>H16*0.2</f>
        <v>0</v>
      </c>
      <c r="K16" s="5">
        <f>J16*0.15</f>
        <v>0</v>
      </c>
      <c r="L16">
        <v>10</v>
      </c>
      <c r="M16">
        <v>0</v>
      </c>
      <c r="N16">
        <v>0</v>
      </c>
      <c r="O16">
        <v>0</v>
      </c>
      <c r="T16">
        <f>AVERAGE(L16:S16)</f>
        <v>2.5</v>
      </c>
      <c r="U16" s="5">
        <f>T16*0.15</f>
        <v>0.375</v>
      </c>
      <c r="V16" t="s">
        <v>94</v>
      </c>
    </row>
    <row r="17" spans="1:22" x14ac:dyDescent="0.35">
      <c r="A17">
        <v>324063949</v>
      </c>
      <c r="B17" s="4" t="s">
        <v>36</v>
      </c>
      <c r="C17" t="s">
        <v>68</v>
      </c>
      <c r="E17">
        <f>G17+I17+K17+U17</f>
        <v>5.87</v>
      </c>
      <c r="F17">
        <v>8.74</v>
      </c>
      <c r="G17" s="5">
        <f>F17*0.5</f>
        <v>4.37</v>
      </c>
      <c r="I17" s="5">
        <f>H17*0.2</f>
        <v>0</v>
      </c>
      <c r="K17" s="5">
        <f>J17*0.15</f>
        <v>0</v>
      </c>
      <c r="L17">
        <v>10</v>
      </c>
      <c r="M17">
        <v>10</v>
      </c>
      <c r="N17">
        <v>10</v>
      </c>
      <c r="O17">
        <v>10</v>
      </c>
      <c r="T17">
        <f>AVERAGE(L17:S17)</f>
        <v>10</v>
      </c>
      <c r="U17" s="5">
        <f>T17*0.15</f>
        <v>1.5</v>
      </c>
      <c r="V17" t="s">
        <v>94</v>
      </c>
    </row>
    <row r="18" spans="1:22" x14ac:dyDescent="0.35">
      <c r="A18">
        <v>324070903</v>
      </c>
      <c r="B18" s="4" t="s">
        <v>37</v>
      </c>
      <c r="C18" t="s">
        <v>70</v>
      </c>
      <c r="E18">
        <f>G18+I18+K18+U18</f>
        <v>6.47</v>
      </c>
      <c r="F18">
        <v>9.94</v>
      </c>
      <c r="G18" s="5">
        <f>F18*0.5</f>
        <v>4.97</v>
      </c>
      <c r="I18" s="5">
        <f>H18*0.2</f>
        <v>0</v>
      </c>
      <c r="K18" s="5">
        <f>J18*0.15</f>
        <v>0</v>
      </c>
      <c r="L18">
        <v>10</v>
      </c>
      <c r="M18">
        <v>10</v>
      </c>
      <c r="N18">
        <v>10</v>
      </c>
      <c r="O18">
        <v>10</v>
      </c>
      <c r="T18">
        <f>AVERAGE(L18:S18)</f>
        <v>10</v>
      </c>
      <c r="U18" s="5">
        <f>T18*0.15</f>
        <v>1.5</v>
      </c>
      <c r="V18" t="s">
        <v>94</v>
      </c>
    </row>
    <row r="19" spans="1:22" x14ac:dyDescent="0.35">
      <c r="A19">
        <v>324082955</v>
      </c>
      <c r="B19" s="6" t="s">
        <v>38</v>
      </c>
      <c r="C19" t="s">
        <v>71</v>
      </c>
      <c r="E19">
        <f>G19+I19+K19+U19</f>
        <v>0</v>
      </c>
      <c r="F19">
        <v>0</v>
      </c>
      <c r="G19" s="5">
        <f>F19*0.5</f>
        <v>0</v>
      </c>
      <c r="I19" s="5">
        <f>H19*0.2</f>
        <v>0</v>
      </c>
      <c r="K19" s="5">
        <f>J19*0.15</f>
        <v>0</v>
      </c>
      <c r="L19">
        <v>0</v>
      </c>
      <c r="M19">
        <v>0</v>
      </c>
      <c r="N19">
        <v>0</v>
      </c>
      <c r="O19">
        <v>0</v>
      </c>
      <c r="T19">
        <f>AVERAGE(L19:S19)</f>
        <v>0</v>
      </c>
      <c r="U19" s="5">
        <f>T19*0.15</f>
        <v>0</v>
      </c>
      <c r="V19" t="s">
        <v>95</v>
      </c>
    </row>
    <row r="20" spans="1:22" x14ac:dyDescent="0.35">
      <c r="A20">
        <v>324042001</v>
      </c>
      <c r="B20" s="6" t="s">
        <v>39</v>
      </c>
      <c r="C20" t="s">
        <v>72</v>
      </c>
      <c r="E20">
        <f>G20+I20+K20+U20</f>
        <v>4.4950000000000001</v>
      </c>
      <c r="F20">
        <v>6.74</v>
      </c>
      <c r="G20" s="5">
        <f>F20*0.5</f>
        <v>3.37</v>
      </c>
      <c r="I20" s="5">
        <f>H20*0.2</f>
        <v>0</v>
      </c>
      <c r="K20" s="5">
        <f>J20*0.15</f>
        <v>0</v>
      </c>
      <c r="L20">
        <v>10</v>
      </c>
      <c r="M20">
        <v>10</v>
      </c>
      <c r="N20">
        <v>10</v>
      </c>
      <c r="O20">
        <v>0</v>
      </c>
      <c r="T20">
        <f>AVERAGE(L20:S20)</f>
        <v>7.5</v>
      </c>
      <c r="U20" s="5">
        <f>T20*0.15</f>
        <v>1.125</v>
      </c>
      <c r="V20" t="s">
        <v>94</v>
      </c>
    </row>
    <row r="21" spans="1:22" x14ac:dyDescent="0.35">
      <c r="A21">
        <v>324038055</v>
      </c>
      <c r="B21" s="4" t="s">
        <v>40</v>
      </c>
      <c r="C21" t="s">
        <v>85</v>
      </c>
      <c r="E21">
        <f>G21+I21+K21+U21</f>
        <v>6.39</v>
      </c>
      <c r="F21">
        <v>9.7799999999999994</v>
      </c>
      <c r="G21" s="5">
        <f>F21*0.5</f>
        <v>4.8899999999999997</v>
      </c>
      <c r="I21" s="5">
        <f>H21*0.2</f>
        <v>0</v>
      </c>
      <c r="K21" s="5">
        <f>J21*0.15</f>
        <v>0</v>
      </c>
      <c r="L21">
        <v>10</v>
      </c>
      <c r="M21">
        <v>10</v>
      </c>
      <c r="N21">
        <v>10</v>
      </c>
      <c r="O21">
        <v>10</v>
      </c>
      <c r="T21">
        <f>AVERAGE(L21:S21)</f>
        <v>10</v>
      </c>
      <c r="U21" s="5">
        <f>T21*0.15</f>
        <v>1.5</v>
      </c>
      <c r="V21" t="s">
        <v>94</v>
      </c>
    </row>
    <row r="22" spans="1:22" x14ac:dyDescent="0.35">
      <c r="A22">
        <v>324064173</v>
      </c>
      <c r="B22" s="4" t="s">
        <v>41</v>
      </c>
      <c r="C22" t="s">
        <v>86</v>
      </c>
      <c r="E22">
        <f>G22+I22+K22+U22</f>
        <v>6.3049999999999997</v>
      </c>
      <c r="F22">
        <v>9.61</v>
      </c>
      <c r="G22" s="5">
        <f>F22*0.5</f>
        <v>4.8049999999999997</v>
      </c>
      <c r="I22" s="5">
        <f>H22*0.2</f>
        <v>0</v>
      </c>
      <c r="K22" s="5">
        <f>J22*0.15</f>
        <v>0</v>
      </c>
      <c r="L22">
        <v>10</v>
      </c>
      <c r="M22">
        <v>10</v>
      </c>
      <c r="N22">
        <v>10</v>
      </c>
      <c r="O22">
        <v>10</v>
      </c>
      <c r="T22">
        <f>AVERAGE(L22:S22)</f>
        <v>10</v>
      </c>
      <c r="U22" s="5">
        <f>T22*0.15</f>
        <v>1.5</v>
      </c>
      <c r="V22" t="s">
        <v>94</v>
      </c>
    </row>
    <row r="23" spans="1:22" x14ac:dyDescent="0.35">
      <c r="A23">
        <v>324037010</v>
      </c>
      <c r="B23" s="6" t="s">
        <v>42</v>
      </c>
      <c r="C23" t="s">
        <v>73</v>
      </c>
      <c r="E23">
        <f>G23+I23+K23+U23</f>
        <v>1.155</v>
      </c>
      <c r="F23">
        <v>2.31</v>
      </c>
      <c r="G23" s="5">
        <f>F23*0.5</f>
        <v>1.155</v>
      </c>
      <c r="I23" s="5">
        <f>H23*0.2</f>
        <v>0</v>
      </c>
      <c r="K23" s="5">
        <f>J23*0.15</f>
        <v>0</v>
      </c>
      <c r="L23">
        <v>0</v>
      </c>
      <c r="M23">
        <v>0</v>
      </c>
      <c r="N23">
        <v>0</v>
      </c>
      <c r="O23">
        <v>0</v>
      </c>
      <c r="T23">
        <f>AVERAGE(L23:S23)</f>
        <v>0</v>
      </c>
      <c r="U23" s="5">
        <f>T23*0.15</f>
        <v>0</v>
      </c>
      <c r="V23" t="s">
        <v>94</v>
      </c>
    </row>
    <row r="24" spans="1:22" x14ac:dyDescent="0.35">
      <c r="A24">
        <v>324060113</v>
      </c>
      <c r="B24" s="4" t="s">
        <v>43</v>
      </c>
      <c r="C24" t="s">
        <v>91</v>
      </c>
      <c r="E24">
        <f>G24+I24+K24+U24</f>
        <v>0</v>
      </c>
      <c r="F24">
        <v>0</v>
      </c>
      <c r="G24" s="5">
        <f>F24*0.5</f>
        <v>0</v>
      </c>
      <c r="I24" s="5">
        <f>H24*0.2</f>
        <v>0</v>
      </c>
      <c r="K24" s="5">
        <f>J24*0.15</f>
        <v>0</v>
      </c>
      <c r="L24">
        <v>0</v>
      </c>
      <c r="M24">
        <v>0</v>
      </c>
      <c r="N24">
        <v>0</v>
      </c>
      <c r="O24">
        <v>0</v>
      </c>
      <c r="T24">
        <f>AVERAGE(L24:S24)</f>
        <v>0</v>
      </c>
      <c r="U24" s="5">
        <f>T24*0.15</f>
        <v>0</v>
      </c>
      <c r="V24" t="s">
        <v>95</v>
      </c>
    </row>
    <row r="25" spans="1:22" x14ac:dyDescent="0.35">
      <c r="A25">
        <v>324000380</v>
      </c>
      <c r="B25" s="6" t="s">
        <v>44</v>
      </c>
      <c r="C25" t="s">
        <v>74</v>
      </c>
      <c r="E25">
        <f>G25+I25+K25+U25</f>
        <v>0.9</v>
      </c>
      <c r="F25">
        <v>1.05</v>
      </c>
      <c r="G25" s="5">
        <f>F25*0.5</f>
        <v>0.52500000000000002</v>
      </c>
      <c r="I25" s="5">
        <f>H25*0.2</f>
        <v>0</v>
      </c>
      <c r="K25" s="5">
        <f>J25*0.15</f>
        <v>0</v>
      </c>
      <c r="L25">
        <v>10</v>
      </c>
      <c r="M25">
        <v>0</v>
      </c>
      <c r="N25">
        <v>0</v>
      </c>
      <c r="O25">
        <v>0</v>
      </c>
      <c r="T25">
        <f>AVERAGE(L25:S25)</f>
        <v>2.5</v>
      </c>
      <c r="U25" s="5">
        <f>T25*0.15</f>
        <v>0.375</v>
      </c>
      <c r="V25" t="s">
        <v>94</v>
      </c>
    </row>
    <row r="26" spans="1:22" x14ac:dyDescent="0.35">
      <c r="A26">
        <v>324012246</v>
      </c>
      <c r="B26" s="4" t="s">
        <v>45</v>
      </c>
      <c r="C26" t="s">
        <v>75</v>
      </c>
      <c r="E26">
        <f>G26+I26+K26+U26</f>
        <v>6.5</v>
      </c>
      <c r="F26">
        <v>10</v>
      </c>
      <c r="G26" s="5">
        <f>F26*0.5</f>
        <v>5</v>
      </c>
      <c r="I26" s="5">
        <f>H26*0.2</f>
        <v>0</v>
      </c>
      <c r="K26" s="5">
        <f>J26*0.15</f>
        <v>0</v>
      </c>
      <c r="L26">
        <v>10</v>
      </c>
      <c r="M26">
        <v>10</v>
      </c>
      <c r="N26">
        <v>10</v>
      </c>
      <c r="O26">
        <v>10</v>
      </c>
      <c r="T26">
        <f>AVERAGE(L26:S26)</f>
        <v>10</v>
      </c>
      <c r="U26" s="5">
        <f>T26*0.15</f>
        <v>1.5</v>
      </c>
      <c r="V26" t="s">
        <v>94</v>
      </c>
    </row>
    <row r="27" spans="1:22" x14ac:dyDescent="0.35">
      <c r="A27">
        <v>323160124</v>
      </c>
      <c r="B27" s="4" t="s">
        <v>92</v>
      </c>
      <c r="C27" t="s">
        <v>99</v>
      </c>
      <c r="F27">
        <v>9.98</v>
      </c>
      <c r="G27" s="5">
        <f>F27*0.5</f>
        <v>4.99</v>
      </c>
      <c r="I27" s="5"/>
      <c r="K27" s="5"/>
      <c r="L27">
        <v>10</v>
      </c>
      <c r="M27">
        <v>10</v>
      </c>
      <c r="N27">
        <v>10</v>
      </c>
      <c r="O27">
        <v>10</v>
      </c>
      <c r="T27">
        <f>AVERAGE(L27:S27)</f>
        <v>10</v>
      </c>
      <c r="U27" s="5">
        <f>T27*0.15</f>
        <v>1.5</v>
      </c>
    </row>
    <row r="28" spans="1:22" x14ac:dyDescent="0.35">
      <c r="A28">
        <v>324032194</v>
      </c>
      <c r="B28" s="6" t="s">
        <v>46</v>
      </c>
      <c r="C28" t="s">
        <v>76</v>
      </c>
      <c r="E28">
        <f>G28+I28+K28+U28</f>
        <v>0</v>
      </c>
      <c r="F28">
        <v>0</v>
      </c>
      <c r="G28" s="5">
        <f>F28*0.5</f>
        <v>0</v>
      </c>
      <c r="I28" s="5">
        <f>H28*0.2</f>
        <v>0</v>
      </c>
      <c r="K28" s="5">
        <f>J28*0.15</f>
        <v>0</v>
      </c>
      <c r="L28">
        <v>0</v>
      </c>
      <c r="M28">
        <v>0</v>
      </c>
      <c r="N28">
        <v>0</v>
      </c>
      <c r="O28">
        <v>0</v>
      </c>
      <c r="T28">
        <f>AVERAGE(L28:S28)</f>
        <v>0</v>
      </c>
      <c r="U28" s="5">
        <f>T28*0.15</f>
        <v>0</v>
      </c>
      <c r="V28" t="s">
        <v>95</v>
      </c>
    </row>
    <row r="29" spans="1:22" x14ac:dyDescent="0.35">
      <c r="A29">
        <v>324052482</v>
      </c>
      <c r="B29" s="4" t="s">
        <v>47</v>
      </c>
      <c r="C29" t="s">
        <v>87</v>
      </c>
      <c r="E29">
        <f>G29+I29+K29+U29</f>
        <v>5.8250000000000002</v>
      </c>
      <c r="F29">
        <v>8.65</v>
      </c>
      <c r="G29" s="5">
        <f>F29*0.5</f>
        <v>4.3250000000000002</v>
      </c>
      <c r="I29" s="5">
        <f>H29*0.2</f>
        <v>0</v>
      </c>
      <c r="K29" s="5">
        <f>J29*0.15</f>
        <v>0</v>
      </c>
      <c r="L29">
        <v>10</v>
      </c>
      <c r="M29">
        <v>10</v>
      </c>
      <c r="N29">
        <v>10</v>
      </c>
      <c r="O29">
        <v>10</v>
      </c>
      <c r="T29">
        <f>AVERAGE(L29:S29)</f>
        <v>10</v>
      </c>
      <c r="U29" s="5">
        <f>T29*0.15</f>
        <v>1.5</v>
      </c>
      <c r="V29" t="s">
        <v>94</v>
      </c>
    </row>
    <row r="30" spans="1:22" x14ac:dyDescent="0.35">
      <c r="A30">
        <v>324029970</v>
      </c>
      <c r="B30" s="4" t="s">
        <v>48</v>
      </c>
      <c r="C30" t="s">
        <v>68</v>
      </c>
      <c r="E30">
        <f>G30+I30+K30+U30</f>
        <v>5.84</v>
      </c>
      <c r="F30">
        <v>9.43</v>
      </c>
      <c r="G30" s="5">
        <f>F30*0.5</f>
        <v>4.7149999999999999</v>
      </c>
      <c r="I30" s="5">
        <f>H30*0.2</f>
        <v>0</v>
      </c>
      <c r="K30" s="5">
        <f>J30*0.15</f>
        <v>0</v>
      </c>
      <c r="L30">
        <v>0</v>
      </c>
      <c r="M30">
        <v>10</v>
      </c>
      <c r="N30">
        <v>10</v>
      </c>
      <c r="O30">
        <v>10</v>
      </c>
      <c r="T30">
        <f>AVERAGE(L30:S30)</f>
        <v>7.5</v>
      </c>
      <c r="U30" s="5">
        <f>T30*0.15</f>
        <v>1.125</v>
      </c>
      <c r="V30" t="s">
        <v>94</v>
      </c>
    </row>
    <row r="31" spans="1:22" x14ac:dyDescent="0.35">
      <c r="A31">
        <v>324048876</v>
      </c>
      <c r="B31" s="4" t="s">
        <v>49</v>
      </c>
      <c r="C31" t="s">
        <v>70</v>
      </c>
      <c r="E31">
        <f>G31+I31+K31+U31</f>
        <v>6.32</v>
      </c>
      <c r="F31">
        <v>9.64</v>
      </c>
      <c r="G31" s="5">
        <f>F31*0.5</f>
        <v>4.82</v>
      </c>
      <c r="I31" s="5">
        <f>H31*0.2</f>
        <v>0</v>
      </c>
      <c r="K31" s="5">
        <f>J31*0.15</f>
        <v>0</v>
      </c>
      <c r="L31">
        <v>10</v>
      </c>
      <c r="M31">
        <v>10</v>
      </c>
      <c r="N31">
        <v>10</v>
      </c>
      <c r="O31">
        <v>10</v>
      </c>
      <c r="T31">
        <f>AVERAGE(L31:S31)</f>
        <v>10</v>
      </c>
      <c r="U31" s="5">
        <f>T31*0.15</f>
        <v>1.5</v>
      </c>
      <c r="V31" t="s">
        <v>94</v>
      </c>
    </row>
    <row r="32" spans="1:22" x14ac:dyDescent="0.35">
      <c r="A32">
        <v>323216379</v>
      </c>
      <c r="B32" s="4" t="s">
        <v>50</v>
      </c>
      <c r="C32" t="s">
        <v>77</v>
      </c>
      <c r="E32">
        <f>G32+I32+K32+U32</f>
        <v>6.5</v>
      </c>
      <c r="F32">
        <v>10</v>
      </c>
      <c r="G32" s="5">
        <f>F32*0.5</f>
        <v>5</v>
      </c>
      <c r="I32" s="5">
        <f>H32*0.2</f>
        <v>0</v>
      </c>
      <c r="K32" s="5">
        <f>J32*0.15</f>
        <v>0</v>
      </c>
      <c r="L32">
        <v>10</v>
      </c>
      <c r="M32">
        <v>10</v>
      </c>
      <c r="N32">
        <v>10</v>
      </c>
      <c r="O32">
        <v>10</v>
      </c>
      <c r="T32">
        <f>AVERAGE(L32:S32)</f>
        <v>10</v>
      </c>
      <c r="U32" s="5">
        <f>T32*0.15</f>
        <v>1.5</v>
      </c>
      <c r="V32" t="s">
        <v>94</v>
      </c>
    </row>
    <row r="33" spans="1:22" x14ac:dyDescent="0.35">
      <c r="A33">
        <v>324075238</v>
      </c>
      <c r="B33" s="4" t="s">
        <v>51</v>
      </c>
      <c r="C33" t="s">
        <v>78</v>
      </c>
      <c r="E33">
        <f>G33+I33+K33+U33</f>
        <v>6.48</v>
      </c>
      <c r="F33">
        <v>9.9600000000000009</v>
      </c>
      <c r="G33" s="5">
        <f>F33*0.5</f>
        <v>4.9800000000000004</v>
      </c>
      <c r="I33" s="5">
        <f>H33*0.2</f>
        <v>0</v>
      </c>
      <c r="K33" s="5">
        <f>J33*0.15</f>
        <v>0</v>
      </c>
      <c r="L33">
        <v>10</v>
      </c>
      <c r="M33">
        <v>10</v>
      </c>
      <c r="N33">
        <v>10</v>
      </c>
      <c r="O33">
        <v>10</v>
      </c>
      <c r="T33">
        <f>AVERAGE(L33:S33)</f>
        <v>10</v>
      </c>
      <c r="U33" s="5">
        <f>T33*0.15</f>
        <v>1.5</v>
      </c>
      <c r="V33" t="s">
        <v>94</v>
      </c>
    </row>
    <row r="34" spans="1:22" x14ac:dyDescent="0.35">
      <c r="A34">
        <v>324072684</v>
      </c>
      <c r="B34" s="6" t="s">
        <v>52</v>
      </c>
      <c r="C34" t="s">
        <v>88</v>
      </c>
      <c r="E34">
        <f>G34+I34+K34+U34</f>
        <v>2.085</v>
      </c>
      <c r="F34">
        <v>2.67</v>
      </c>
      <c r="G34" s="5">
        <f>F34*0.5</f>
        <v>1.335</v>
      </c>
      <c r="I34" s="5">
        <f>H34*0.2</f>
        <v>0</v>
      </c>
      <c r="K34" s="5">
        <f>J34*0.15</f>
        <v>0</v>
      </c>
      <c r="L34">
        <v>10</v>
      </c>
      <c r="M34">
        <v>0</v>
      </c>
      <c r="N34">
        <v>10</v>
      </c>
      <c r="O34">
        <v>0</v>
      </c>
      <c r="T34">
        <f>AVERAGE(L34:S34)</f>
        <v>5</v>
      </c>
      <c r="U34" s="5">
        <f>T34*0.15</f>
        <v>0.75</v>
      </c>
      <c r="V34" t="s">
        <v>94</v>
      </c>
    </row>
    <row r="35" spans="1:22" x14ac:dyDescent="0.35">
      <c r="A35">
        <v>324081800</v>
      </c>
      <c r="B35" s="6" t="s">
        <v>53</v>
      </c>
      <c r="C35" t="s">
        <v>89</v>
      </c>
      <c r="E35">
        <f>G35+I35+K35+U35</f>
        <v>0.66999999999999993</v>
      </c>
      <c r="F35">
        <v>0.59</v>
      </c>
      <c r="G35" s="5">
        <f>F35*0.5</f>
        <v>0.29499999999999998</v>
      </c>
      <c r="I35" s="5">
        <f>H35*0.2</f>
        <v>0</v>
      </c>
      <c r="K35" s="5">
        <f>J35*0.15</f>
        <v>0</v>
      </c>
      <c r="L35">
        <v>10</v>
      </c>
      <c r="M35">
        <v>0</v>
      </c>
      <c r="N35">
        <v>0</v>
      </c>
      <c r="O35">
        <v>0</v>
      </c>
      <c r="T35">
        <f>AVERAGE(L35:S35)</f>
        <v>2.5</v>
      </c>
      <c r="U35" s="5">
        <f>T35*0.15</f>
        <v>0.375</v>
      </c>
      <c r="V35" t="s">
        <v>94</v>
      </c>
    </row>
    <row r="36" spans="1:22" x14ac:dyDescent="0.35">
      <c r="A36">
        <v>324072622</v>
      </c>
      <c r="B36" s="4" t="s">
        <v>96</v>
      </c>
      <c r="F36">
        <v>9.02</v>
      </c>
      <c r="G36" s="5">
        <f>F36*0.5</f>
        <v>4.51</v>
      </c>
      <c r="I36" s="5"/>
      <c r="K36" s="5"/>
      <c r="L36">
        <v>10</v>
      </c>
      <c r="M36">
        <v>10</v>
      </c>
      <c r="N36">
        <v>10</v>
      </c>
      <c r="O36">
        <v>0</v>
      </c>
      <c r="T36">
        <f>AVERAGE(L36:S36)</f>
        <v>7.5</v>
      </c>
      <c r="U36" s="5">
        <f>T36*0.15</f>
        <v>1.125</v>
      </c>
      <c r="V36" t="s">
        <v>94</v>
      </c>
    </row>
    <row r="37" spans="1:22" x14ac:dyDescent="0.35">
      <c r="A37">
        <v>324021754</v>
      </c>
      <c r="B37" s="6" t="s">
        <v>54</v>
      </c>
      <c r="C37" t="s">
        <v>79</v>
      </c>
      <c r="E37">
        <f>G37+I37+K37+U37</f>
        <v>0</v>
      </c>
      <c r="F37">
        <v>0</v>
      </c>
      <c r="G37" s="5">
        <f>F37*0.5</f>
        <v>0</v>
      </c>
      <c r="I37" s="5">
        <f>H37*0.2</f>
        <v>0</v>
      </c>
      <c r="K37" s="5">
        <f>J37*0.15</f>
        <v>0</v>
      </c>
      <c r="L37">
        <v>0</v>
      </c>
      <c r="M37">
        <v>0</v>
      </c>
      <c r="N37">
        <v>0</v>
      </c>
      <c r="O37">
        <v>0</v>
      </c>
      <c r="T37">
        <f>AVERAGE(L37:S37)</f>
        <v>0</v>
      </c>
      <c r="U37" s="5">
        <f>T37*0.15</f>
        <v>0</v>
      </c>
      <c r="V37" t="s">
        <v>95</v>
      </c>
    </row>
    <row r="38" spans="1:22" x14ac:dyDescent="0.35">
      <c r="A38">
        <v>324067435</v>
      </c>
      <c r="B38" s="4" t="s">
        <v>55</v>
      </c>
      <c r="C38" t="s">
        <v>90</v>
      </c>
      <c r="E38">
        <f>G38+I38+K38+U38</f>
        <v>6.4850000000000003</v>
      </c>
      <c r="F38">
        <v>9.9700000000000006</v>
      </c>
      <c r="G38" s="5">
        <f>F38*0.5</f>
        <v>4.9850000000000003</v>
      </c>
      <c r="I38" s="5">
        <f>H38*0.2</f>
        <v>0</v>
      </c>
      <c r="K38" s="5">
        <f>J38*0.15</f>
        <v>0</v>
      </c>
      <c r="L38">
        <v>10</v>
      </c>
      <c r="M38">
        <v>10</v>
      </c>
      <c r="N38">
        <v>10</v>
      </c>
      <c r="O38">
        <v>10</v>
      </c>
      <c r="T38">
        <f>AVERAGE(L38:S38)</f>
        <v>10</v>
      </c>
      <c r="U38" s="5">
        <f>T38*0.15</f>
        <v>1.5</v>
      </c>
      <c r="V38" t="s">
        <v>94</v>
      </c>
    </row>
    <row r="39" spans="1:22" x14ac:dyDescent="0.35">
      <c r="A39">
        <v>323191924</v>
      </c>
      <c r="B39" s="4" t="s">
        <v>97</v>
      </c>
      <c r="C39" t="s">
        <v>98</v>
      </c>
      <c r="F39">
        <v>6.06</v>
      </c>
      <c r="G39" s="5">
        <f>F39*0.5</f>
        <v>3.03</v>
      </c>
      <c r="I39" s="5"/>
      <c r="K39" s="5"/>
      <c r="M39">
        <v>0</v>
      </c>
      <c r="N39">
        <v>0</v>
      </c>
      <c r="O39">
        <v>10</v>
      </c>
      <c r="U39" s="5"/>
    </row>
    <row r="40" spans="1:22" x14ac:dyDescent="0.35">
      <c r="A40">
        <v>324022029</v>
      </c>
      <c r="B40" s="4" t="s">
        <v>56</v>
      </c>
      <c r="C40" t="s">
        <v>80</v>
      </c>
      <c r="E40">
        <f>G40+I40+K40+U40</f>
        <v>5.2</v>
      </c>
      <c r="F40">
        <v>8.15</v>
      </c>
      <c r="G40" s="5">
        <f>F40*0.5</f>
        <v>4.0750000000000002</v>
      </c>
      <c r="I40" s="5">
        <f>H40*0.2</f>
        <v>0</v>
      </c>
      <c r="K40" s="5">
        <f>J40*0.15</f>
        <v>0</v>
      </c>
      <c r="L40">
        <v>10</v>
      </c>
      <c r="M40">
        <v>10</v>
      </c>
      <c r="N40">
        <v>0</v>
      </c>
      <c r="O40">
        <v>10</v>
      </c>
      <c r="T40">
        <f>AVERAGE(L40:S40)</f>
        <v>7.5</v>
      </c>
      <c r="U40" s="5">
        <f>T40*0.15</f>
        <v>1.125</v>
      </c>
      <c r="V40" t="s">
        <v>94</v>
      </c>
    </row>
    <row r="41" spans="1:22" x14ac:dyDescent="0.35">
      <c r="A41">
        <v>324058240</v>
      </c>
      <c r="B41" s="4" t="s">
        <v>57</v>
      </c>
      <c r="C41" t="s">
        <v>68</v>
      </c>
      <c r="E41">
        <f>G41+I41+K41+U41</f>
        <v>5.8250000000000002</v>
      </c>
      <c r="F41">
        <v>9.4</v>
      </c>
      <c r="G41" s="5">
        <f>F41*0.5</f>
        <v>4.7</v>
      </c>
      <c r="I41" s="5">
        <f>H41*0.2</f>
        <v>0</v>
      </c>
      <c r="K41" s="5">
        <f>J41*0.15</f>
        <v>0</v>
      </c>
      <c r="L41">
        <v>10</v>
      </c>
      <c r="M41">
        <v>10</v>
      </c>
      <c r="N41">
        <v>0</v>
      </c>
      <c r="O41">
        <v>10</v>
      </c>
      <c r="T41">
        <f>AVERAGE(L41:S41)</f>
        <v>7.5</v>
      </c>
      <c r="U41" s="5">
        <f>T41*0.15</f>
        <v>1.125</v>
      </c>
      <c r="V41" t="s">
        <v>94</v>
      </c>
    </row>
    <row r="42" spans="1:22" x14ac:dyDescent="0.35">
      <c r="B42" s="4"/>
    </row>
    <row r="43" spans="1:22" x14ac:dyDescent="0.35">
      <c r="V43" t="s">
        <v>94</v>
      </c>
    </row>
  </sheetData>
  <autoFilter ref="A1:V43" xr:uid="{D00BE368-B81F-4575-8C81-D1F6583D781B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2026-05-20T20:06:54Z</dcterms:created>
  <dcterms:modified xsi:type="dcterms:W3CDTF">2026-05-29T18:04:19Z</dcterms:modified>
</cp:coreProperties>
</file>