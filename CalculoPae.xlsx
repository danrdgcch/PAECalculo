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"/>
    </mc:Choice>
  </mc:AlternateContent>
  <xr:revisionPtr revIDLastSave="41" documentId="8_{BF8756A7-8D9E-4219-9C04-A4DFABB4AF18}" xr6:coauthVersionLast="47" xr6:coauthVersionMax="47" xr10:uidLastSave="{D5B33089-7E2E-45E1-A618-2F9965F4C4A7}"/>
  <bookViews>
    <workbookView xWindow="2800" yWindow="2800" windowWidth="19200" windowHeight="11170" xr2:uid="{A28C854B-A77E-46B1-A182-09A41166C6F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E4" i="1"/>
  <c r="E7" i="1"/>
  <c r="E8" i="1"/>
  <c r="E9" i="1"/>
  <c r="E10" i="1"/>
  <c r="E12" i="1"/>
  <c r="E13" i="1"/>
  <c r="E2" i="1"/>
  <c r="I3" i="1"/>
  <c r="I4" i="1"/>
  <c r="I7" i="1"/>
  <c r="I8" i="1"/>
  <c r="I9" i="1"/>
  <c r="I10" i="1"/>
  <c r="I12" i="1"/>
  <c r="I13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<sst xmlns="http://schemas.openxmlformats.org/spreadsheetml/2006/main" count="61" uniqueCount="38">
  <si>
    <t>No.</t>
  </si>
  <si>
    <t>Nombre</t>
  </si>
  <si>
    <t>Nombre de Pila</t>
  </si>
  <si>
    <t>Promedio Khan Academy</t>
  </si>
  <si>
    <t>Examen Final</t>
  </si>
  <si>
    <t>Porcentaje de Examen final 20%</t>
  </si>
  <si>
    <t>Porcentaje Khan Academy 80%</t>
  </si>
  <si>
    <t>Asistencia Obligatoria de ambas sesiones</t>
  </si>
  <si>
    <t>CARMONA SERRANO XIMENA</t>
  </si>
  <si>
    <t>XIMENA</t>
  </si>
  <si>
    <t>CARRANCO BOLAÑOS ASHLEY ALEXA</t>
  </si>
  <si>
    <t>ASHLEY</t>
  </si>
  <si>
    <t>CEBALLOS MORENO SAHILY XIMENA</t>
  </si>
  <si>
    <t>SAHILY</t>
  </si>
  <si>
    <t>FONSECA IRACHETA NATALIA</t>
  </si>
  <si>
    <t>NATALIA</t>
  </si>
  <si>
    <t>GALICIA VALENCIA CEDRIC</t>
  </si>
  <si>
    <t>CEDRIC</t>
  </si>
  <si>
    <t>GARCIA VANEGAS ITZEL YUVAL</t>
  </si>
  <si>
    <t>ITZEL</t>
  </si>
  <si>
    <t>GONZALEZ ALVA IKER ARTURO</t>
  </si>
  <si>
    <t>IKER</t>
  </si>
  <si>
    <t>GONZALEZ RAMIREZ SAMANTHA</t>
  </si>
  <si>
    <t>SAMANTHA</t>
  </si>
  <si>
    <t>GUZMAN DURAN JORGE TADEO</t>
  </si>
  <si>
    <t>JORGE</t>
  </si>
  <si>
    <t>JAIME RAMIREZ BEIDA</t>
  </si>
  <si>
    <t>BEIDA</t>
  </si>
  <si>
    <t>LEDESMA CORTEZ MARIA JOSE</t>
  </si>
  <si>
    <t>MARIA</t>
  </si>
  <si>
    <t>MEDINA SANCHEZ MARIA FERNANDA</t>
  </si>
  <si>
    <t>MEZA SANCHEZ SOFIA NOEMI</t>
  </si>
  <si>
    <t>SOFIA</t>
  </si>
  <si>
    <t>NP</t>
  </si>
  <si>
    <t>Final provisional</t>
  </si>
  <si>
    <t>Final DGAE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</si>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</sst>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BE368-B81F-4575-8C81-D1F6583D781B}">
  <dimension ref="A1:J14"/>
  <sheetViews>
    <sheetView tabSelected="1" workbookViewId="0">
      <selection activeCell="D2" sqref="D2:D15"/>
    </sheetView>
  </sheetViews>
  <sheetFormatPr baseColWidth="10" defaultRowHeight="14.5" x14ac:dyDescent="0.35"/>
  <cols>
    <col min="3" max="5" width="13.6328125" customWidth="1"/>
    <col min="6" max="6" width="21.453125" customWidth="1"/>
  </cols>
  <sheetData>
    <row r="1" spans="1:10" ht="58" x14ac:dyDescent="0.35">
      <c r="A1" s="1" t="s">
        <v>0</v>
      </c>
      <c r="B1" s="1" t="s">
        <v>1</v>
      </c>
      <c r="C1" s="1" t="s">
        <v>2</v>
      </c>
      <c r="D1" s="1" t="s">
        <v>35</v>
      </c>
      <c r="E1" s="1" t="s">
        <v>34</v>
      </c>
      <c r="F1" s="1" t="s">
        <v>3</v>
      </c>
      <c r="G1" s="2" t="s">
        <v>6</v>
      </c>
      <c r="H1" s="1" t="s">
        <v>4</v>
      </c>
      <c r="I1" s="2" t="s">
        <v>5</v>
      </c>
      <c r="J1" s="2" t="s">
        <v>7</v>
      </c>
    </row>
    <row r="2" spans="1:10" x14ac:dyDescent="0.35">
      <c r="A2">
        <v>326284966</v>
      </c>
      <c r="B2" t="s">
        <v>8</v>
      </c>
      <c r="C2" t="s">
        <v>9</v>
      </c>
      <c r="E2">
        <f>G2+I2</f>
        <v>9.76</v>
      </c>
      <c r="F2">
        <v>9.6999999999999993</v>
      </c>
      <c r="G2">
        <f>F2*0.8</f>
        <v>7.76</v>
      </c>
      <c r="H2">
        <v>10</v>
      </c>
      <c r="I2">
        <f>H2*0.2</f>
        <v>2</v>
      </c>
      <c r="J2" t="s">
        <v>36</v>
      </c>
    </row>
    <row r="3" spans="1:10" x14ac:dyDescent="0.35">
      <c r="A3">
        <v>326294213</v>
      </c>
      <c r="B3" t="s">
        <v>10</v>
      </c>
      <c r="C3" t="s">
        <v>11</v>
      </c>
      <c r="E3">
        <f t="shared" ref="E3:E13" si="0">G3+I3</f>
        <v>9.6999999999999993</v>
      </c>
      <c r="F3">
        <v>10</v>
      </c>
      <c r="G3">
        <f t="shared" ref="G3:G14" si="1">F3*0.8</f>
        <v>8</v>
      </c>
      <c r="H3">
        <v>8.5</v>
      </c>
      <c r="I3">
        <f t="shared" ref="I3:I13" si="2">H3*0.2</f>
        <v>1.7000000000000002</v>
      </c>
      <c r="J3" t="s">
        <v>36</v>
      </c>
    </row>
    <row r="4" spans="1:10" x14ac:dyDescent="0.35">
      <c r="A4">
        <v>326302109</v>
      </c>
      <c r="B4" t="s">
        <v>12</v>
      </c>
      <c r="C4" t="s">
        <v>13</v>
      </c>
      <c r="E4">
        <f t="shared" si="0"/>
        <v>7.5</v>
      </c>
      <c r="F4">
        <v>7.5</v>
      </c>
      <c r="G4">
        <f t="shared" si="1"/>
        <v>6</v>
      </c>
      <c r="H4">
        <v>7.5</v>
      </c>
      <c r="I4">
        <f t="shared" si="2"/>
        <v>1.5</v>
      </c>
      <c r="J4" t="s">
        <v>36</v>
      </c>
    </row>
    <row r="5" spans="1:10" x14ac:dyDescent="0.35">
      <c r="A5">
        <v>326078132</v>
      </c>
      <c r="B5" t="s">
        <v>14</v>
      </c>
      <c r="C5" t="s">
        <v>15</v>
      </c>
      <c r="E5" t="s">
        <v>33</v>
      </c>
      <c r="F5">
        <v>0</v>
      </c>
      <c r="G5">
        <f t="shared" si="1"/>
        <v>0</v>
      </c>
      <c r="H5" t="s">
        <v>33</v>
      </c>
      <c r="I5" t="s">
        <v>33</v>
      </c>
      <c r="J5" t="s">
        <v>36</v>
      </c>
    </row>
    <row r="6" spans="1:10" x14ac:dyDescent="0.35">
      <c r="A6">
        <v>326219221</v>
      </c>
      <c r="B6" t="s">
        <v>16</v>
      </c>
      <c r="C6" t="s">
        <v>17</v>
      </c>
      <c r="E6" t="s">
        <v>33</v>
      </c>
      <c r="F6">
        <v>0.1</v>
      </c>
      <c r="G6">
        <f t="shared" si="1"/>
        <v>8.0000000000000016E-2</v>
      </c>
      <c r="H6" t="s">
        <v>33</v>
      </c>
      <c r="I6" t="s">
        <v>33</v>
      </c>
      <c r="J6" t="s">
        <v>36</v>
      </c>
    </row>
    <row r="7" spans="1:10" x14ac:dyDescent="0.35">
      <c r="A7">
        <v>326192982</v>
      </c>
      <c r="B7" t="s">
        <v>18</v>
      </c>
      <c r="C7" t="s">
        <v>19</v>
      </c>
      <c r="E7">
        <f t="shared" si="0"/>
        <v>7.6400000000000006</v>
      </c>
      <c r="F7">
        <v>7.8</v>
      </c>
      <c r="G7">
        <f t="shared" si="1"/>
        <v>6.24</v>
      </c>
      <c r="H7">
        <v>7</v>
      </c>
      <c r="I7">
        <f t="shared" si="2"/>
        <v>1.4000000000000001</v>
      </c>
      <c r="J7" t="s">
        <v>36</v>
      </c>
    </row>
    <row r="8" spans="1:10" x14ac:dyDescent="0.35">
      <c r="A8">
        <v>326164121</v>
      </c>
      <c r="B8" t="s">
        <v>20</v>
      </c>
      <c r="C8" t="s">
        <v>21</v>
      </c>
      <c r="E8">
        <f t="shared" si="0"/>
        <v>9</v>
      </c>
      <c r="F8">
        <v>9</v>
      </c>
      <c r="G8">
        <f t="shared" si="1"/>
        <v>7.2</v>
      </c>
      <c r="H8">
        <v>9</v>
      </c>
      <c r="I8">
        <f t="shared" si="2"/>
        <v>1.8</v>
      </c>
      <c r="J8" t="s">
        <v>36</v>
      </c>
    </row>
    <row r="9" spans="1:10" x14ac:dyDescent="0.35">
      <c r="A9">
        <v>326131231</v>
      </c>
      <c r="B9" t="s">
        <v>22</v>
      </c>
      <c r="C9" t="s">
        <v>23</v>
      </c>
      <c r="E9">
        <f t="shared" si="0"/>
        <v>4.6000000000000005</v>
      </c>
      <c r="F9">
        <v>4</v>
      </c>
      <c r="G9">
        <f t="shared" si="1"/>
        <v>3.2</v>
      </c>
      <c r="H9">
        <v>7</v>
      </c>
      <c r="I9">
        <f t="shared" si="2"/>
        <v>1.4000000000000001</v>
      </c>
      <c r="J9" t="s">
        <v>36</v>
      </c>
    </row>
    <row r="10" spans="1:10" x14ac:dyDescent="0.35">
      <c r="A10">
        <v>326210369</v>
      </c>
      <c r="B10" t="s">
        <v>24</v>
      </c>
      <c r="C10" t="s">
        <v>25</v>
      </c>
      <c r="E10">
        <f t="shared" si="0"/>
        <v>7.620000000000001</v>
      </c>
      <c r="F10">
        <v>7.4</v>
      </c>
      <c r="G10">
        <f t="shared" si="1"/>
        <v>5.9200000000000008</v>
      </c>
      <c r="H10">
        <v>8.5</v>
      </c>
      <c r="I10">
        <f t="shared" si="2"/>
        <v>1.7000000000000002</v>
      </c>
      <c r="J10" t="s">
        <v>36</v>
      </c>
    </row>
    <row r="11" spans="1:10" x14ac:dyDescent="0.35">
      <c r="A11">
        <v>326137202</v>
      </c>
      <c r="B11" t="s">
        <v>26</v>
      </c>
      <c r="C11" t="s">
        <v>27</v>
      </c>
      <c r="E11" t="s">
        <v>33</v>
      </c>
      <c r="F11">
        <v>1.1000000000000001</v>
      </c>
      <c r="G11">
        <f t="shared" si="1"/>
        <v>0.88000000000000012</v>
      </c>
      <c r="H11" t="s">
        <v>33</v>
      </c>
      <c r="I11" t="s">
        <v>33</v>
      </c>
      <c r="J11" t="s">
        <v>36</v>
      </c>
    </row>
    <row r="12" spans="1:10" x14ac:dyDescent="0.35">
      <c r="A12">
        <v>326303443</v>
      </c>
      <c r="B12" t="s">
        <v>28</v>
      </c>
      <c r="C12" t="s">
        <v>29</v>
      </c>
      <c r="E12">
        <f t="shared" si="0"/>
        <v>8.48</v>
      </c>
      <c r="F12">
        <v>9.1</v>
      </c>
      <c r="G12">
        <f t="shared" si="1"/>
        <v>7.28</v>
      </c>
      <c r="H12">
        <v>6</v>
      </c>
      <c r="I12">
        <f t="shared" si="2"/>
        <v>1.2000000000000002</v>
      </c>
      <c r="J12" t="s">
        <v>36</v>
      </c>
    </row>
    <row r="13" spans="1:10" x14ac:dyDescent="0.35">
      <c r="A13">
        <v>326153451</v>
      </c>
      <c r="B13" t="s">
        <v>30</v>
      </c>
      <c r="C13" t="s">
        <v>29</v>
      </c>
      <c r="E13">
        <f t="shared" si="0"/>
        <v>3.52</v>
      </c>
      <c r="F13">
        <v>1.9</v>
      </c>
      <c r="G13">
        <f t="shared" si="1"/>
        <v>1.52</v>
      </c>
      <c r="H13">
        <v>10</v>
      </c>
      <c r="I13">
        <f t="shared" si="2"/>
        <v>2</v>
      </c>
      <c r="J13" t="s">
        <v>36</v>
      </c>
    </row>
    <row r="14" spans="1:10" x14ac:dyDescent="0.35">
      <c r="A14">
        <v>326044881</v>
      </c>
      <c r="B14" t="s">
        <v>31</v>
      </c>
      <c r="C14" t="s">
        <v>32</v>
      </c>
      <c r="E14" t="s">
        <v>33</v>
      </c>
      <c r="F14">
        <v>2</v>
      </c>
      <c r="G14">
        <f t="shared" si="1"/>
        <v>1.6</v>
      </c>
      <c r="H14" t="s">
        <v>33</v>
      </c>
      <c r="I14" t="s">
        <v>33</v>
      </c>
      <c r="J14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2026-05-20T20:06:54Z</dcterms:created>
  <dcterms:modified xsi:type="dcterms:W3CDTF">2026-05-20T20:26:19Z</dcterms:modified>
</cp:coreProperties>
</file>