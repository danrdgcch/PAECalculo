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48567a393db7db/Escritorio/"/>
    </mc:Choice>
  </mc:AlternateContent>
  <xr:revisionPtr revIDLastSave="287" documentId="8_{BF8756A7-8D9E-4219-9C04-A4DFABB4AF18}" xr6:coauthVersionLast="47" xr6:coauthVersionMax="47" xr10:uidLastSave="{91D69504-9CEB-4E80-9ED3-3597122CFE8F}"/>
  <bookViews>
    <workbookView xWindow="-120" yWindow="-120" windowWidth="51840" windowHeight="21120" xr2:uid="{A28C854B-A77E-46B1-A182-09A41166C6FC}"/>
  </bookViews>
  <sheets>
    <sheet name="Hoja1" sheetId="1" r:id="rId1"/>
  </sheets>
  <definedNames>
    <definedName name="_xlnm._FilterDatabase" localSheetId="0" hidden="1">Hoja1!$A$1:$V$42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36" i="1" l="1"/>
  <c r="U36" i="1" s="1"/>
  <c r="T2" i="1"/>
  <c r="U2" i="1" s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7" i="1"/>
  <c r="K38" i="1"/>
  <c r="K39" i="1"/>
  <c r="K40" i="1"/>
  <c r="K2" i="1"/>
  <c r="T3" i="1"/>
  <c r="U3" i="1" s="1"/>
  <c r="T4" i="1"/>
  <c r="U4" i="1" s="1"/>
  <c r="T5" i="1"/>
  <c r="U5" i="1" s="1"/>
  <c r="T6" i="1"/>
  <c r="U6" i="1" s="1"/>
  <c r="T7" i="1"/>
  <c r="U7" i="1" s="1"/>
  <c r="T8" i="1"/>
  <c r="U8" i="1" s="1"/>
  <c r="T9" i="1"/>
  <c r="U9" i="1" s="1"/>
  <c r="T10" i="1"/>
  <c r="U10" i="1" s="1"/>
  <c r="T11" i="1"/>
  <c r="U11" i="1" s="1"/>
  <c r="T12" i="1"/>
  <c r="U12" i="1" s="1"/>
  <c r="T13" i="1"/>
  <c r="U13" i="1" s="1"/>
  <c r="T14" i="1"/>
  <c r="U14" i="1" s="1"/>
  <c r="T15" i="1"/>
  <c r="U15" i="1" s="1"/>
  <c r="T16" i="1"/>
  <c r="U16" i="1" s="1"/>
  <c r="T17" i="1"/>
  <c r="U17" i="1" s="1"/>
  <c r="T18" i="1"/>
  <c r="U18" i="1" s="1"/>
  <c r="T19" i="1"/>
  <c r="U19" i="1" s="1"/>
  <c r="T20" i="1"/>
  <c r="U20" i="1" s="1"/>
  <c r="T21" i="1"/>
  <c r="U21" i="1" s="1"/>
  <c r="T22" i="1"/>
  <c r="U22" i="1" s="1"/>
  <c r="T23" i="1"/>
  <c r="U23" i="1" s="1"/>
  <c r="T24" i="1"/>
  <c r="U24" i="1" s="1"/>
  <c r="T25" i="1"/>
  <c r="U25" i="1" s="1"/>
  <c r="T26" i="1"/>
  <c r="U26" i="1" s="1"/>
  <c r="T27" i="1"/>
  <c r="U27" i="1" s="1"/>
  <c r="T28" i="1"/>
  <c r="U28" i="1" s="1"/>
  <c r="T29" i="1"/>
  <c r="U29" i="1" s="1"/>
  <c r="T30" i="1"/>
  <c r="U30" i="1" s="1"/>
  <c r="T31" i="1"/>
  <c r="U31" i="1" s="1"/>
  <c r="T32" i="1"/>
  <c r="U32" i="1" s="1"/>
  <c r="T33" i="1"/>
  <c r="U33" i="1" s="1"/>
  <c r="T34" i="1"/>
  <c r="U34" i="1" s="1"/>
  <c r="T35" i="1"/>
  <c r="U35" i="1" s="1"/>
  <c r="T37" i="1"/>
  <c r="U37" i="1" s="1"/>
  <c r="T38" i="1"/>
  <c r="U38" i="1" s="1"/>
  <c r="T39" i="1"/>
  <c r="U39" i="1" s="1"/>
  <c r="T40" i="1"/>
  <c r="U40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7" i="1"/>
  <c r="I38" i="1"/>
  <c r="I39" i="1"/>
  <c r="I40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7" i="1"/>
  <c r="G38" i="1"/>
  <c r="G39" i="1"/>
  <c r="G40" i="1"/>
  <c r="G2" i="1"/>
  <c r="E39" i="1" l="1"/>
  <c r="E6" i="1"/>
  <c r="E38" i="1"/>
  <c r="E23" i="1"/>
  <c r="E22" i="1"/>
  <c r="E21" i="1"/>
  <c r="E37" i="1"/>
  <c r="E19" i="1"/>
  <c r="E7" i="1"/>
  <c r="E34" i="1"/>
  <c r="E15" i="1"/>
  <c r="E30" i="1"/>
  <c r="E14" i="1"/>
  <c r="E29" i="1"/>
  <c r="E5" i="1"/>
  <c r="E20" i="1"/>
  <c r="E18" i="1"/>
  <c r="E35" i="1"/>
  <c r="E3" i="1"/>
  <c r="E32" i="1"/>
  <c r="E4" i="1"/>
  <c r="E33" i="1"/>
  <c r="E17" i="1"/>
  <c r="E31" i="1"/>
  <c r="E16" i="1"/>
  <c r="E28" i="1"/>
  <c r="E13" i="1"/>
  <c r="E27" i="1"/>
  <c r="E12" i="1"/>
  <c r="E26" i="1"/>
  <c r="E11" i="1"/>
  <c r="E25" i="1"/>
  <c r="E10" i="1"/>
  <c r="E24" i="1"/>
  <c r="E9" i="1"/>
  <c r="E40" i="1"/>
  <c r="E8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tc={052A40F9-ED63-4A83-8779-FCCCF426C242}</author>
  </authors>
  <commentList>
    <comment ref="B15" authorId="0" shapeId="0" xr:uid="{052A40F9-ED63-4A83-8779-FCCCF426C2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Paso en ordinario</t>
      </text>
    </comment>
  </commentList>
</comments>
</file>

<file path=xl/sharedStrings.xml><?xml version="1.0" encoding="utf-8"?>
<sst xmlns="http://schemas.openxmlformats.org/spreadsheetml/2006/main" count="141" uniqueCount="100">
  <si>
    <t>No.</t>
  </si>
  <si>
    <t>Nombre</t>
  </si>
  <si>
    <t>Nombre de Pila</t>
  </si>
  <si>
    <t>Promedio Khan Academy</t>
  </si>
  <si>
    <t>Examen Final</t>
  </si>
  <si>
    <t>Porcentaje de Examen final 20%</t>
  </si>
  <si>
    <t>Final provisional</t>
  </si>
  <si>
    <t>Final DGAE</t>
  </si>
  <si>
    <t>Porcentaje Khan Academy 50%</t>
  </si>
  <si>
    <t>Calificacion Video explicación</t>
  </si>
  <si>
    <t>Porcentaje del video 15%</t>
  </si>
  <si>
    <t>Apuntes S1</t>
  </si>
  <si>
    <t>Apuntes S2</t>
  </si>
  <si>
    <t>Apuntes S3</t>
  </si>
  <si>
    <t>Apuntes S4</t>
  </si>
  <si>
    <t>Apuntes S5</t>
  </si>
  <si>
    <t>Apuntes S6</t>
  </si>
  <si>
    <t>Apuntes S7</t>
  </si>
  <si>
    <t>Apuntes S8</t>
  </si>
  <si>
    <t>Promedio Apuntes</t>
  </si>
  <si>
    <t>Porcentaje de apuntes 15%</t>
  </si>
  <si>
    <t>AGUILAR VALENTIN CINTHYA INES</t>
  </si>
  <si>
    <t>ARMENDARIZ CRUZ ALISSON ABIGAIL</t>
  </si>
  <si>
    <t>AUSTRIA VELAZQUEZ REGINA</t>
  </si>
  <si>
    <t>BUSTOS CARBAJAL ISRAEL ADONAI</t>
  </si>
  <si>
    <t>CABRERA SERNA ARMANDO LEVI</t>
  </si>
  <si>
    <t>CAPETILLO ROSALES LILITH ARHELY</t>
  </si>
  <si>
    <t>CASTILLO REYES ZOE GAEL</t>
  </si>
  <si>
    <t>CHAGOYA CRUCES FABIOLA JAZMIN</t>
  </si>
  <si>
    <t>CHAVEZ AGUILAR FERNANDA VALERIA</t>
  </si>
  <si>
    <t>CONTRERAS GARCIA ALAN MIHAI</t>
  </si>
  <si>
    <t>CORTEZ CRUZ ARIADNA YAMILET</t>
  </si>
  <si>
    <t>CRUZ MARTINEZ DYLAN MARTIN</t>
  </si>
  <si>
    <t>DE LA CRUZ MENDOZA ANGEL AZKARY</t>
  </si>
  <si>
    <t>FLORES CUREÑO ERANDI</t>
  </si>
  <si>
    <t>GUZMAN CALIHUA ERIK LEONEL</t>
  </si>
  <si>
    <t>HERNANDEZ NAVARRO FERNANDO</t>
  </si>
  <si>
    <t>HERNANDEZ TERAN ANGEL DANIEL</t>
  </si>
  <si>
    <t>HERNANDEZ VILLATORO CHRISTOPHER DAVID</t>
  </si>
  <si>
    <t>JIMENEZ VARGAS GAEL ENRIQUE</t>
  </si>
  <si>
    <t>JIMENEZ VARGAS LEONARDO IÑAKY</t>
  </si>
  <si>
    <t>LARIOS HERNANDEZ VALERIA</t>
  </si>
  <si>
    <t>LEON OLVERA SANTIAGO</t>
  </si>
  <si>
    <t>MARTINEZ MENDEZ JANINA GISSELLE</t>
  </si>
  <si>
    <t>MEJIA GOMEZ MELANIE JAZMIN</t>
  </si>
  <si>
    <t>MELGAREJO VIVEROS MELANIE</t>
  </si>
  <si>
    <t>MEZA ZUÑIGA DIANA ANDREA</t>
  </si>
  <si>
    <t>MONTIEL VAZQUEZ OSCAR ARIEL</t>
  </si>
  <si>
    <t>ORTIZ RAMIREZ URIEL</t>
  </si>
  <si>
    <t>PEÑA MORALES ANGEL GABRIEL</t>
  </si>
  <si>
    <t>PERES ROMERO CHRISTOPHER</t>
  </si>
  <si>
    <t>PEREZ CHAVEZ SERGIO DANIEL</t>
  </si>
  <si>
    <t>PINEDA YAÑEZ ABIGAIL REGINA</t>
  </si>
  <si>
    <t>RODRIGUEZ WATLA JENNIFER</t>
  </si>
  <si>
    <t>ROMERO AVILA ERNESTO</t>
  </si>
  <si>
    <t>SANCHEZ REYES ABRIL YUSELMI</t>
  </si>
  <si>
    <t>SOTO ROJAS ROBERT</t>
  </si>
  <si>
    <t>VALERIO MANCILLA JOEL DAVID</t>
  </si>
  <si>
    <t>ZAVALA RIVERA ANGEL EDUARDO</t>
  </si>
  <si>
    <t>Cinthya</t>
  </si>
  <si>
    <t>Alisson</t>
  </si>
  <si>
    <t>Israel</t>
  </si>
  <si>
    <t>Armando</t>
  </si>
  <si>
    <t>Lilith</t>
  </si>
  <si>
    <t>Zoe</t>
  </si>
  <si>
    <t>Fabiola</t>
  </si>
  <si>
    <t>Fernanda</t>
  </si>
  <si>
    <t>Alan</t>
  </si>
  <si>
    <t>Ariadna</t>
  </si>
  <si>
    <t>Dylan</t>
  </si>
  <si>
    <t>Angel</t>
  </si>
  <si>
    <t>Erik</t>
  </si>
  <si>
    <t>Christopher</t>
  </si>
  <si>
    <t>Gael</t>
  </si>
  <si>
    <t>Leonardo</t>
  </si>
  <si>
    <t>Janina</t>
  </si>
  <si>
    <t>Melanie</t>
  </si>
  <si>
    <t>Diana</t>
  </si>
  <si>
    <t>Oscar</t>
  </si>
  <si>
    <t>Sergio</t>
  </si>
  <si>
    <t>Abigail</t>
  </si>
  <si>
    <t>Abril</t>
  </si>
  <si>
    <t>Joel</t>
  </si>
  <si>
    <t>Regina</t>
  </si>
  <si>
    <t>Cruz</t>
  </si>
  <si>
    <t>Erandi</t>
  </si>
  <si>
    <t>Fernando</t>
  </si>
  <si>
    <t>Valeria</t>
  </si>
  <si>
    <t>Santiago</t>
  </si>
  <si>
    <t>Uriel</t>
  </si>
  <si>
    <t>Jennifer</t>
  </si>
  <si>
    <t>Ernesto</t>
  </si>
  <si>
    <t>Robert</t>
  </si>
  <si>
    <t>Melanie Jazmin</t>
  </si>
  <si>
    <t>Yo</t>
  </si>
  <si>
    <t>MIRANDA CAMACHO DIEGO IVAN</t>
  </si>
  <si>
    <t>En Khan Academy</t>
  </si>
  <si>
    <t>Si</t>
  </si>
  <si>
    <t>No</t>
  </si>
  <si>
    <t>RUELAS GARCIA FERNANDO JAEL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</si>
</sst>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entury Schoolbook"/>
      <family val="1"/>
    </font>
    <font>
      <sz val="11"/>
      <name val="Segoe UI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33" borderId="0" xfId="0" applyFill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0" fillId="33" borderId="0" xfId="0" applyFill="1"/>
    <xf numFmtId="0" fontId="18" fillId="34" borderId="0" xfId="0" applyFont="1" applyFill="1" applyAlignment="1">
      <alignment horizontal="left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79321F0B-D330-486E-8409-7FC7843325D8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ill>
        <patternFill patternType="solid">
          <bgColor rgb="FFE7E7F7"/>
        </patternFill>
      </fill>
    </dxf>
    <dxf>
      <font>
        <b/>
        <sz val="11"/>
        <color rgb="FFFFFFFF"/>
        <name val="Segoe UI"/>
      </font>
      <fill>
        <patternFill patternType="solid">
          <fgColor rgb="FF5B5FC7"/>
          <bgColor rgb="FF5B5FC7"/>
        </patternFill>
      </fill>
      <border>
        <bottom style="thin">
          <color auto="1"/>
        </bottom>
      </border>
    </dxf>
  </dxfs>
  <tableStyles count="1" defaultTableStyle="TableStyleMedium2" defaultPivotStyle="PivotStyleLight16">
    <tableStyle name="Assignments Export" pivot="0" count="2" xr9:uid="{1602111D-03B8-44FB-98AB-960B1D3BAED5}">
      <tableStyleElement type="headerRow" dxfId="1"/>
      <tableStyleElement type="first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Rodriguez García" id="{9168BD70-32BC-4B19-A967-B334A1A220DF}" userId="1548567a393db7db" providerId="Windows Liv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6-05-24T16:47:22.11" personId="{9168BD70-32BC-4B19-A967-B334A1A220DF}" id="{052A40F9-ED63-4A83-8779-FCCCF426C242}">
    <text>Paso en ordinario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E368-B81F-4575-8C81-D1F6583D781B}">
  <dimension ref="A1:V42"/>
  <sheetViews>
    <sheetView tabSelected="1" zoomScale="116" zoomScaleNormal="115" workbookViewId="0">
      <selection activeCell="T21" sqref="T21"/>
    </sheetView>
  </sheetViews>
  <sheetFormatPr baseColWidth="10" defaultRowHeight="15" x14ac:dyDescent="0.25"/>
  <cols>
    <col min="1" max="1" width="18.140625" customWidth="1"/>
    <col min="2" max="2" width="46.85546875" customWidth="1"/>
    <col min="3" max="3" width="13.5703125" customWidth="1"/>
    <col min="4" max="4" width="6.5703125" customWidth="1"/>
    <col min="5" max="5" width="12" customWidth="1"/>
    <col min="6" max="6" width="11.42578125" customWidth="1"/>
    <col min="7" max="7" width="10.85546875" customWidth="1"/>
    <col min="8" max="8" width="9.140625" customWidth="1"/>
    <col min="9" max="11" width="10.85546875" customWidth="1"/>
    <col min="12" max="19" width="7.85546875" customWidth="1"/>
    <col min="20" max="20" width="9.42578125" customWidth="1"/>
    <col min="21" max="21" width="10.85546875" customWidth="1"/>
  </cols>
  <sheetData>
    <row r="1" spans="1:22" ht="60" x14ac:dyDescent="0.25">
      <c r="A1" s="1" t="s">
        <v>0</v>
      </c>
      <c r="B1" s="1" t="s">
        <v>1</v>
      </c>
      <c r="C1" s="1" t="s">
        <v>2</v>
      </c>
      <c r="D1" s="2" t="s">
        <v>7</v>
      </c>
      <c r="E1" s="2" t="s">
        <v>6</v>
      </c>
      <c r="F1" s="2" t="s">
        <v>3</v>
      </c>
      <c r="G1" s="3" t="s">
        <v>8</v>
      </c>
      <c r="H1" s="2" t="s">
        <v>4</v>
      </c>
      <c r="I1" s="3" t="s">
        <v>5</v>
      </c>
      <c r="J1" s="2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3" t="s">
        <v>20</v>
      </c>
      <c r="V1" s="2" t="s">
        <v>96</v>
      </c>
    </row>
    <row r="2" spans="1:22" x14ac:dyDescent="0.25">
      <c r="A2">
        <v>324013061</v>
      </c>
      <c r="B2" s="4" t="s">
        <v>21</v>
      </c>
      <c r="C2" t="s">
        <v>59</v>
      </c>
      <c r="E2">
        <f>G2+I2+K2+U2</f>
        <v>1.5</v>
      </c>
      <c r="G2" s="5">
        <f>F2*0.5</f>
        <v>0</v>
      </c>
      <c r="I2" s="5">
        <f>H2*0.2</f>
        <v>0</v>
      </c>
      <c r="K2" s="5">
        <f>J2*0.15</f>
        <v>0</v>
      </c>
      <c r="L2">
        <v>10</v>
      </c>
      <c r="T2">
        <f t="shared" ref="T2:T40" si="0">AVERAGE(L2:S2)</f>
        <v>10</v>
      </c>
      <c r="U2" s="5">
        <f>T2*0.15</f>
        <v>1.5</v>
      </c>
      <c r="V2" t="s">
        <v>97</v>
      </c>
    </row>
    <row r="3" spans="1:22" x14ac:dyDescent="0.25">
      <c r="A3">
        <v>324076235</v>
      </c>
      <c r="B3" s="4" t="s">
        <v>22</v>
      </c>
      <c r="C3" t="s">
        <v>60</v>
      </c>
      <c r="E3">
        <f t="shared" ref="E3:E40" si="1">G3+I3+K3+U3</f>
        <v>0</v>
      </c>
      <c r="G3" s="5">
        <f t="shared" ref="G3:G40" si="2">F3*0.5</f>
        <v>0</v>
      </c>
      <c r="I3" s="5">
        <f t="shared" ref="I3:I40" si="3">H3*0.2</f>
        <v>0</v>
      </c>
      <c r="K3" s="5">
        <f t="shared" ref="K3:K40" si="4">J3*0.15</f>
        <v>0</v>
      </c>
      <c r="L3">
        <v>0</v>
      </c>
      <c r="T3">
        <f t="shared" si="0"/>
        <v>0</v>
      </c>
      <c r="U3" s="5">
        <f t="shared" ref="U3:U40" si="5">T3*0.15</f>
        <v>0</v>
      </c>
      <c r="V3" t="s">
        <v>98</v>
      </c>
    </row>
    <row r="4" spans="1:22" x14ac:dyDescent="0.25">
      <c r="A4">
        <v>324048010</v>
      </c>
      <c r="B4" s="4" t="s">
        <v>23</v>
      </c>
      <c r="C4" t="s">
        <v>83</v>
      </c>
      <c r="E4">
        <f t="shared" si="1"/>
        <v>1.5</v>
      </c>
      <c r="G4" s="5">
        <f t="shared" si="2"/>
        <v>0</v>
      </c>
      <c r="I4" s="5">
        <f t="shared" si="3"/>
        <v>0</v>
      </c>
      <c r="K4" s="5">
        <f t="shared" si="4"/>
        <v>0</v>
      </c>
      <c r="L4">
        <v>10</v>
      </c>
      <c r="T4">
        <f t="shared" si="0"/>
        <v>10</v>
      </c>
      <c r="U4" s="5">
        <f t="shared" si="5"/>
        <v>1.5</v>
      </c>
      <c r="V4" t="s">
        <v>97</v>
      </c>
    </row>
    <row r="5" spans="1:22" x14ac:dyDescent="0.25">
      <c r="A5">
        <v>324002463</v>
      </c>
      <c r="B5" s="4" t="s">
        <v>24</v>
      </c>
      <c r="C5" t="s">
        <v>61</v>
      </c>
      <c r="E5">
        <f t="shared" si="1"/>
        <v>1.5</v>
      </c>
      <c r="G5" s="5">
        <f t="shared" si="2"/>
        <v>0</v>
      </c>
      <c r="I5" s="5">
        <f t="shared" si="3"/>
        <v>0</v>
      </c>
      <c r="K5" s="5">
        <f t="shared" si="4"/>
        <v>0</v>
      </c>
      <c r="L5">
        <v>10</v>
      </c>
      <c r="T5">
        <f t="shared" si="0"/>
        <v>10</v>
      </c>
      <c r="U5" s="5">
        <f t="shared" si="5"/>
        <v>1.5</v>
      </c>
      <c r="V5" t="s">
        <v>97</v>
      </c>
    </row>
    <row r="6" spans="1:22" x14ac:dyDescent="0.25">
      <c r="A6">
        <v>324021912</v>
      </c>
      <c r="B6" s="4" t="s">
        <v>25</v>
      </c>
      <c r="C6" t="s">
        <v>62</v>
      </c>
      <c r="E6">
        <f t="shared" si="1"/>
        <v>1.5</v>
      </c>
      <c r="G6" s="5">
        <f t="shared" si="2"/>
        <v>0</v>
      </c>
      <c r="I6" s="5">
        <f t="shared" si="3"/>
        <v>0</v>
      </c>
      <c r="K6" s="5">
        <f t="shared" si="4"/>
        <v>0</v>
      </c>
      <c r="L6">
        <v>10</v>
      </c>
      <c r="T6">
        <f t="shared" si="0"/>
        <v>10</v>
      </c>
      <c r="U6" s="5">
        <f t="shared" si="5"/>
        <v>1.5</v>
      </c>
      <c r="V6" t="s">
        <v>97</v>
      </c>
    </row>
    <row r="7" spans="1:22" x14ac:dyDescent="0.25">
      <c r="A7">
        <v>324061828</v>
      </c>
      <c r="B7" s="4" t="s">
        <v>26</v>
      </c>
      <c r="C7" t="s">
        <v>63</v>
      </c>
      <c r="E7">
        <f t="shared" si="1"/>
        <v>1.5</v>
      </c>
      <c r="G7" s="5">
        <f t="shared" si="2"/>
        <v>0</v>
      </c>
      <c r="I7" s="5">
        <f t="shared" si="3"/>
        <v>0</v>
      </c>
      <c r="K7" s="5">
        <f t="shared" si="4"/>
        <v>0</v>
      </c>
      <c r="L7">
        <v>10</v>
      </c>
      <c r="T7">
        <f t="shared" si="0"/>
        <v>10</v>
      </c>
      <c r="U7" s="5">
        <f t="shared" si="5"/>
        <v>1.5</v>
      </c>
      <c r="V7" t="s">
        <v>97</v>
      </c>
    </row>
    <row r="8" spans="1:22" x14ac:dyDescent="0.25">
      <c r="A8">
        <v>323267845</v>
      </c>
      <c r="B8" s="4" t="s">
        <v>27</v>
      </c>
      <c r="C8" t="s">
        <v>64</v>
      </c>
      <c r="E8">
        <f t="shared" si="1"/>
        <v>0</v>
      </c>
      <c r="G8" s="5">
        <f t="shared" si="2"/>
        <v>0</v>
      </c>
      <c r="I8" s="5">
        <f t="shared" si="3"/>
        <v>0</v>
      </c>
      <c r="K8" s="5">
        <f t="shared" si="4"/>
        <v>0</v>
      </c>
      <c r="L8">
        <v>0</v>
      </c>
      <c r="T8">
        <f t="shared" si="0"/>
        <v>0</v>
      </c>
      <c r="U8" s="5">
        <f t="shared" si="5"/>
        <v>0</v>
      </c>
      <c r="V8" t="s">
        <v>98</v>
      </c>
    </row>
    <row r="9" spans="1:22" x14ac:dyDescent="0.25">
      <c r="A9">
        <v>324067930</v>
      </c>
      <c r="B9" s="4" t="s">
        <v>28</v>
      </c>
      <c r="C9" t="s">
        <v>65</v>
      </c>
      <c r="E9">
        <f t="shared" si="1"/>
        <v>1.5</v>
      </c>
      <c r="G9" s="5">
        <f t="shared" si="2"/>
        <v>0</v>
      </c>
      <c r="I9" s="5">
        <f t="shared" si="3"/>
        <v>0</v>
      </c>
      <c r="K9" s="5">
        <f t="shared" si="4"/>
        <v>0</v>
      </c>
      <c r="L9">
        <v>10</v>
      </c>
      <c r="T9">
        <f t="shared" si="0"/>
        <v>10</v>
      </c>
      <c r="U9" s="5">
        <f t="shared" si="5"/>
        <v>1.5</v>
      </c>
      <c r="V9" t="s">
        <v>97</v>
      </c>
    </row>
    <row r="10" spans="1:22" x14ac:dyDescent="0.25">
      <c r="A10">
        <v>324025233</v>
      </c>
      <c r="B10" s="4" t="s">
        <v>29</v>
      </c>
      <c r="C10" t="s">
        <v>66</v>
      </c>
      <c r="E10">
        <f t="shared" si="1"/>
        <v>0</v>
      </c>
      <c r="G10" s="5">
        <f t="shared" si="2"/>
        <v>0</v>
      </c>
      <c r="I10" s="5">
        <f t="shared" si="3"/>
        <v>0</v>
      </c>
      <c r="K10" s="5">
        <f t="shared" si="4"/>
        <v>0</v>
      </c>
      <c r="L10">
        <v>0</v>
      </c>
      <c r="T10">
        <f t="shared" si="0"/>
        <v>0</v>
      </c>
      <c r="U10" s="5">
        <f t="shared" si="5"/>
        <v>0</v>
      </c>
      <c r="V10" t="s">
        <v>98</v>
      </c>
    </row>
    <row r="11" spans="1:22" x14ac:dyDescent="0.25">
      <c r="A11">
        <v>324084203</v>
      </c>
      <c r="B11" s="4" t="s">
        <v>30</v>
      </c>
      <c r="C11" t="s">
        <v>67</v>
      </c>
      <c r="E11">
        <f t="shared" si="1"/>
        <v>1.5</v>
      </c>
      <c r="G11" s="5">
        <f t="shared" si="2"/>
        <v>0</v>
      </c>
      <c r="I11" s="5">
        <f t="shared" si="3"/>
        <v>0</v>
      </c>
      <c r="K11" s="5">
        <f t="shared" si="4"/>
        <v>0</v>
      </c>
      <c r="L11">
        <v>10</v>
      </c>
      <c r="T11">
        <f t="shared" si="0"/>
        <v>10</v>
      </c>
      <c r="U11" s="5">
        <f t="shared" si="5"/>
        <v>1.5</v>
      </c>
      <c r="V11" t="s">
        <v>97</v>
      </c>
    </row>
    <row r="12" spans="1:22" x14ac:dyDescent="0.25">
      <c r="A12">
        <v>323250434</v>
      </c>
      <c r="B12" s="4" t="s">
        <v>31</v>
      </c>
      <c r="C12" t="s">
        <v>68</v>
      </c>
      <c r="E12">
        <f t="shared" si="1"/>
        <v>1.5</v>
      </c>
      <c r="G12" s="5">
        <f t="shared" si="2"/>
        <v>0</v>
      </c>
      <c r="I12" s="5">
        <f t="shared" si="3"/>
        <v>0</v>
      </c>
      <c r="K12" s="5">
        <f t="shared" si="4"/>
        <v>0</v>
      </c>
      <c r="L12">
        <v>10</v>
      </c>
      <c r="T12">
        <f t="shared" si="0"/>
        <v>10</v>
      </c>
      <c r="U12" s="5">
        <f t="shared" si="5"/>
        <v>1.5</v>
      </c>
      <c r="V12" t="s">
        <v>97</v>
      </c>
    </row>
    <row r="13" spans="1:22" x14ac:dyDescent="0.25">
      <c r="A13">
        <v>324016859</v>
      </c>
      <c r="B13" s="4" t="s">
        <v>32</v>
      </c>
      <c r="C13" t="s">
        <v>69</v>
      </c>
      <c r="E13">
        <f t="shared" si="1"/>
        <v>0</v>
      </c>
      <c r="G13" s="5">
        <f t="shared" si="2"/>
        <v>0</v>
      </c>
      <c r="I13" s="5">
        <f t="shared" si="3"/>
        <v>0</v>
      </c>
      <c r="K13" s="5">
        <f t="shared" si="4"/>
        <v>0</v>
      </c>
      <c r="L13">
        <v>0</v>
      </c>
      <c r="T13">
        <f t="shared" si="0"/>
        <v>0</v>
      </c>
      <c r="U13" s="5">
        <f t="shared" si="5"/>
        <v>0</v>
      </c>
      <c r="V13" t="s">
        <v>98</v>
      </c>
    </row>
    <row r="14" spans="1:22" x14ac:dyDescent="0.25">
      <c r="A14">
        <v>324068267</v>
      </c>
      <c r="B14" s="4" t="s">
        <v>33</v>
      </c>
      <c r="C14" t="s">
        <v>84</v>
      </c>
      <c r="E14">
        <f t="shared" si="1"/>
        <v>1.5</v>
      </c>
      <c r="G14" s="5">
        <f t="shared" si="2"/>
        <v>0</v>
      </c>
      <c r="I14" s="5">
        <f t="shared" si="3"/>
        <v>0</v>
      </c>
      <c r="K14" s="5">
        <f t="shared" si="4"/>
        <v>0</v>
      </c>
      <c r="L14">
        <v>10</v>
      </c>
      <c r="T14">
        <f t="shared" si="0"/>
        <v>10</v>
      </c>
      <c r="U14" s="5">
        <f t="shared" si="5"/>
        <v>1.5</v>
      </c>
      <c r="V14" t="s">
        <v>97</v>
      </c>
    </row>
    <row r="15" spans="1:22" x14ac:dyDescent="0.25">
      <c r="A15">
        <v>324034026</v>
      </c>
      <c r="B15" s="6" t="s">
        <v>34</v>
      </c>
      <c r="C15" t="s">
        <v>85</v>
      </c>
      <c r="E15">
        <f t="shared" si="1"/>
        <v>0</v>
      </c>
      <c r="G15" s="5">
        <f t="shared" si="2"/>
        <v>0</v>
      </c>
      <c r="I15" s="5">
        <f t="shared" si="3"/>
        <v>0</v>
      </c>
      <c r="K15" s="5">
        <f t="shared" si="4"/>
        <v>0</v>
      </c>
      <c r="L15">
        <v>0</v>
      </c>
      <c r="T15">
        <f t="shared" si="0"/>
        <v>0</v>
      </c>
      <c r="U15" s="5">
        <f t="shared" si="5"/>
        <v>0</v>
      </c>
      <c r="V15" t="s">
        <v>98</v>
      </c>
    </row>
    <row r="16" spans="1:22" x14ac:dyDescent="0.25">
      <c r="A16">
        <v>324004089</v>
      </c>
      <c r="B16" s="4" t="s">
        <v>35</v>
      </c>
      <c r="C16" t="s">
        <v>71</v>
      </c>
      <c r="E16">
        <f t="shared" si="1"/>
        <v>0</v>
      </c>
      <c r="G16" s="5">
        <f t="shared" si="2"/>
        <v>0</v>
      </c>
      <c r="I16" s="5">
        <f t="shared" si="3"/>
        <v>0</v>
      </c>
      <c r="K16" s="5">
        <f t="shared" si="4"/>
        <v>0</v>
      </c>
      <c r="L16">
        <v>0</v>
      </c>
      <c r="T16">
        <f t="shared" si="0"/>
        <v>0</v>
      </c>
      <c r="U16" s="5">
        <f t="shared" si="5"/>
        <v>0</v>
      </c>
      <c r="V16" t="s">
        <v>98</v>
      </c>
    </row>
    <row r="17" spans="1:22" x14ac:dyDescent="0.25">
      <c r="A17">
        <v>324018451</v>
      </c>
      <c r="B17" s="4" t="s">
        <v>36</v>
      </c>
      <c r="C17" t="s">
        <v>86</v>
      </c>
      <c r="E17">
        <f t="shared" si="1"/>
        <v>1.5</v>
      </c>
      <c r="G17" s="5">
        <f t="shared" si="2"/>
        <v>0</v>
      </c>
      <c r="I17" s="5">
        <f t="shared" si="3"/>
        <v>0</v>
      </c>
      <c r="K17" s="5">
        <f t="shared" si="4"/>
        <v>0</v>
      </c>
      <c r="L17">
        <v>10</v>
      </c>
      <c r="T17">
        <f t="shared" si="0"/>
        <v>10</v>
      </c>
      <c r="U17" s="5">
        <f t="shared" si="5"/>
        <v>1.5</v>
      </c>
      <c r="V17" t="s">
        <v>97</v>
      </c>
    </row>
    <row r="18" spans="1:22" x14ac:dyDescent="0.25">
      <c r="A18">
        <v>324063949</v>
      </c>
      <c r="B18" s="4" t="s">
        <v>37</v>
      </c>
      <c r="C18" t="s">
        <v>70</v>
      </c>
      <c r="E18">
        <f t="shared" si="1"/>
        <v>1.5</v>
      </c>
      <c r="G18" s="5">
        <f t="shared" si="2"/>
        <v>0</v>
      </c>
      <c r="I18" s="5">
        <f t="shared" si="3"/>
        <v>0</v>
      </c>
      <c r="K18" s="5">
        <f t="shared" si="4"/>
        <v>0</v>
      </c>
      <c r="L18">
        <v>10</v>
      </c>
      <c r="T18">
        <f t="shared" si="0"/>
        <v>10</v>
      </c>
      <c r="U18" s="5">
        <f t="shared" si="5"/>
        <v>1.5</v>
      </c>
      <c r="V18" t="s">
        <v>97</v>
      </c>
    </row>
    <row r="19" spans="1:22" ht="25.5" x14ac:dyDescent="0.25">
      <c r="A19">
        <v>324070903</v>
      </c>
      <c r="B19" s="4" t="s">
        <v>38</v>
      </c>
      <c r="C19" t="s">
        <v>72</v>
      </c>
      <c r="E19">
        <f t="shared" si="1"/>
        <v>1.5</v>
      </c>
      <c r="G19" s="5">
        <f t="shared" si="2"/>
        <v>0</v>
      </c>
      <c r="I19" s="5">
        <f t="shared" si="3"/>
        <v>0</v>
      </c>
      <c r="K19" s="5">
        <f t="shared" si="4"/>
        <v>0</v>
      </c>
      <c r="L19">
        <v>10</v>
      </c>
      <c r="T19">
        <f t="shared" si="0"/>
        <v>10</v>
      </c>
      <c r="U19" s="5">
        <f t="shared" si="5"/>
        <v>1.5</v>
      </c>
      <c r="V19" t="s">
        <v>97</v>
      </c>
    </row>
    <row r="20" spans="1:22" x14ac:dyDescent="0.25">
      <c r="A20">
        <v>324082955</v>
      </c>
      <c r="B20" s="4" t="s">
        <v>39</v>
      </c>
      <c r="C20" t="s">
        <v>73</v>
      </c>
      <c r="E20">
        <f t="shared" si="1"/>
        <v>0</v>
      </c>
      <c r="G20" s="5">
        <f t="shared" si="2"/>
        <v>0</v>
      </c>
      <c r="I20" s="5">
        <f t="shared" si="3"/>
        <v>0</v>
      </c>
      <c r="K20" s="5">
        <f t="shared" si="4"/>
        <v>0</v>
      </c>
      <c r="L20">
        <v>0</v>
      </c>
      <c r="T20">
        <f t="shared" si="0"/>
        <v>0</v>
      </c>
      <c r="U20" s="5">
        <f t="shared" si="5"/>
        <v>0</v>
      </c>
      <c r="V20" t="s">
        <v>98</v>
      </c>
    </row>
    <row r="21" spans="1:22" x14ac:dyDescent="0.25">
      <c r="A21">
        <v>324042001</v>
      </c>
      <c r="B21" s="4" t="s">
        <v>40</v>
      </c>
      <c r="C21" t="s">
        <v>74</v>
      </c>
      <c r="E21">
        <f t="shared" si="1"/>
        <v>1.5</v>
      </c>
      <c r="G21" s="5">
        <f t="shared" si="2"/>
        <v>0</v>
      </c>
      <c r="I21" s="5">
        <f t="shared" si="3"/>
        <v>0</v>
      </c>
      <c r="K21" s="5">
        <f t="shared" si="4"/>
        <v>0</v>
      </c>
      <c r="L21">
        <v>10</v>
      </c>
      <c r="T21">
        <f t="shared" si="0"/>
        <v>10</v>
      </c>
      <c r="U21" s="5">
        <f t="shared" si="5"/>
        <v>1.5</v>
      </c>
      <c r="V21" t="s">
        <v>97</v>
      </c>
    </row>
    <row r="22" spans="1:22" x14ac:dyDescent="0.25">
      <c r="A22">
        <v>324038055</v>
      </c>
      <c r="B22" s="4" t="s">
        <v>41</v>
      </c>
      <c r="C22" t="s">
        <v>87</v>
      </c>
      <c r="E22">
        <f t="shared" si="1"/>
        <v>1.5</v>
      </c>
      <c r="G22" s="5">
        <f t="shared" si="2"/>
        <v>0</v>
      </c>
      <c r="I22" s="5">
        <f t="shared" si="3"/>
        <v>0</v>
      </c>
      <c r="K22" s="5">
        <f t="shared" si="4"/>
        <v>0</v>
      </c>
      <c r="L22">
        <v>10</v>
      </c>
      <c r="T22">
        <f t="shared" si="0"/>
        <v>10</v>
      </c>
      <c r="U22" s="5">
        <f t="shared" si="5"/>
        <v>1.5</v>
      </c>
      <c r="V22" t="s">
        <v>97</v>
      </c>
    </row>
    <row r="23" spans="1:22" x14ac:dyDescent="0.25">
      <c r="A23">
        <v>324064173</v>
      </c>
      <c r="B23" s="4" t="s">
        <v>42</v>
      </c>
      <c r="C23" t="s">
        <v>88</v>
      </c>
      <c r="E23">
        <f t="shared" si="1"/>
        <v>1.5</v>
      </c>
      <c r="G23" s="5">
        <f t="shared" si="2"/>
        <v>0</v>
      </c>
      <c r="I23" s="5">
        <f t="shared" si="3"/>
        <v>0</v>
      </c>
      <c r="K23" s="5">
        <f t="shared" si="4"/>
        <v>0</v>
      </c>
      <c r="L23">
        <v>10</v>
      </c>
      <c r="T23">
        <f t="shared" si="0"/>
        <v>10</v>
      </c>
      <c r="U23" s="5">
        <f t="shared" si="5"/>
        <v>1.5</v>
      </c>
      <c r="V23" t="s">
        <v>97</v>
      </c>
    </row>
    <row r="24" spans="1:22" x14ac:dyDescent="0.25">
      <c r="A24">
        <v>324037010</v>
      </c>
      <c r="B24" s="4" t="s">
        <v>43</v>
      </c>
      <c r="C24" t="s">
        <v>75</v>
      </c>
      <c r="E24">
        <f t="shared" si="1"/>
        <v>0</v>
      </c>
      <c r="G24" s="5">
        <f t="shared" si="2"/>
        <v>0</v>
      </c>
      <c r="I24" s="5">
        <f t="shared" si="3"/>
        <v>0</v>
      </c>
      <c r="K24" s="5">
        <f t="shared" si="4"/>
        <v>0</v>
      </c>
      <c r="L24">
        <v>0</v>
      </c>
      <c r="T24">
        <f t="shared" si="0"/>
        <v>0</v>
      </c>
      <c r="U24" s="5">
        <f t="shared" si="5"/>
        <v>0</v>
      </c>
      <c r="V24" t="s">
        <v>97</v>
      </c>
    </row>
    <row r="25" spans="1:22" x14ac:dyDescent="0.25">
      <c r="A25">
        <v>324060113</v>
      </c>
      <c r="B25" s="4" t="s">
        <v>44</v>
      </c>
      <c r="C25" t="s">
        <v>93</v>
      </c>
      <c r="E25">
        <f t="shared" si="1"/>
        <v>0</v>
      </c>
      <c r="G25" s="5">
        <f t="shared" si="2"/>
        <v>0</v>
      </c>
      <c r="I25" s="5">
        <f t="shared" si="3"/>
        <v>0</v>
      </c>
      <c r="K25" s="5">
        <f t="shared" si="4"/>
        <v>0</v>
      </c>
      <c r="L25">
        <v>0</v>
      </c>
      <c r="T25">
        <f t="shared" si="0"/>
        <v>0</v>
      </c>
      <c r="U25" s="5">
        <f t="shared" si="5"/>
        <v>0</v>
      </c>
      <c r="V25" t="s">
        <v>98</v>
      </c>
    </row>
    <row r="26" spans="1:22" x14ac:dyDescent="0.25">
      <c r="A26">
        <v>324000380</v>
      </c>
      <c r="B26" s="4" t="s">
        <v>45</v>
      </c>
      <c r="C26" t="s">
        <v>76</v>
      </c>
      <c r="E26">
        <f t="shared" si="1"/>
        <v>1.5</v>
      </c>
      <c r="G26" s="5">
        <f t="shared" si="2"/>
        <v>0</v>
      </c>
      <c r="I26" s="5">
        <f t="shared" si="3"/>
        <v>0</v>
      </c>
      <c r="K26" s="5">
        <f t="shared" si="4"/>
        <v>0</v>
      </c>
      <c r="L26">
        <v>10</v>
      </c>
      <c r="T26">
        <f t="shared" si="0"/>
        <v>10</v>
      </c>
      <c r="U26" s="5">
        <f t="shared" si="5"/>
        <v>1.5</v>
      </c>
      <c r="V26" t="s">
        <v>97</v>
      </c>
    </row>
    <row r="27" spans="1:22" x14ac:dyDescent="0.25">
      <c r="A27">
        <v>324012246</v>
      </c>
      <c r="B27" s="4" t="s">
        <v>46</v>
      </c>
      <c r="C27" t="s">
        <v>77</v>
      </c>
      <c r="E27">
        <f t="shared" si="1"/>
        <v>1.5</v>
      </c>
      <c r="G27" s="5">
        <f t="shared" si="2"/>
        <v>0</v>
      </c>
      <c r="I27" s="5">
        <f t="shared" si="3"/>
        <v>0</v>
      </c>
      <c r="K27" s="5">
        <f t="shared" si="4"/>
        <v>0</v>
      </c>
      <c r="L27">
        <v>10</v>
      </c>
      <c r="T27">
        <f t="shared" si="0"/>
        <v>10</v>
      </c>
      <c r="U27" s="5">
        <f t="shared" si="5"/>
        <v>1.5</v>
      </c>
      <c r="V27" t="s">
        <v>97</v>
      </c>
    </row>
    <row r="28" spans="1:22" x14ac:dyDescent="0.25">
      <c r="A28">
        <v>324032194</v>
      </c>
      <c r="B28" s="4" t="s">
        <v>47</v>
      </c>
      <c r="C28" t="s">
        <v>78</v>
      </c>
      <c r="E28">
        <f t="shared" si="1"/>
        <v>0</v>
      </c>
      <c r="G28" s="5">
        <f t="shared" si="2"/>
        <v>0</v>
      </c>
      <c r="I28" s="5">
        <f t="shared" si="3"/>
        <v>0</v>
      </c>
      <c r="K28" s="5">
        <f t="shared" si="4"/>
        <v>0</v>
      </c>
      <c r="L28">
        <v>0</v>
      </c>
      <c r="T28">
        <f t="shared" si="0"/>
        <v>0</v>
      </c>
      <c r="U28" s="5">
        <f t="shared" si="5"/>
        <v>0</v>
      </c>
      <c r="V28" t="s">
        <v>98</v>
      </c>
    </row>
    <row r="29" spans="1:22" x14ac:dyDescent="0.25">
      <c r="A29">
        <v>324052482</v>
      </c>
      <c r="B29" s="4" t="s">
        <v>48</v>
      </c>
      <c r="C29" t="s">
        <v>89</v>
      </c>
      <c r="E29">
        <f t="shared" si="1"/>
        <v>1.5</v>
      </c>
      <c r="G29" s="5">
        <f t="shared" si="2"/>
        <v>0</v>
      </c>
      <c r="I29" s="5">
        <f t="shared" si="3"/>
        <v>0</v>
      </c>
      <c r="K29" s="5">
        <f t="shared" si="4"/>
        <v>0</v>
      </c>
      <c r="L29">
        <v>10</v>
      </c>
      <c r="T29">
        <f t="shared" si="0"/>
        <v>10</v>
      </c>
      <c r="U29" s="5">
        <f t="shared" si="5"/>
        <v>1.5</v>
      </c>
      <c r="V29" t="s">
        <v>97</v>
      </c>
    </row>
    <row r="30" spans="1:22" x14ac:dyDescent="0.25">
      <c r="A30">
        <v>324029970</v>
      </c>
      <c r="B30" s="4" t="s">
        <v>49</v>
      </c>
      <c r="C30" t="s">
        <v>70</v>
      </c>
      <c r="E30">
        <f t="shared" si="1"/>
        <v>0</v>
      </c>
      <c r="G30" s="5">
        <f t="shared" si="2"/>
        <v>0</v>
      </c>
      <c r="I30" s="5">
        <f t="shared" si="3"/>
        <v>0</v>
      </c>
      <c r="K30" s="5">
        <f t="shared" si="4"/>
        <v>0</v>
      </c>
      <c r="L30">
        <v>0</v>
      </c>
      <c r="T30">
        <f t="shared" si="0"/>
        <v>0</v>
      </c>
      <c r="U30" s="5">
        <f t="shared" si="5"/>
        <v>0</v>
      </c>
      <c r="V30" t="s">
        <v>97</v>
      </c>
    </row>
    <row r="31" spans="1:22" x14ac:dyDescent="0.25">
      <c r="A31">
        <v>324048876</v>
      </c>
      <c r="B31" s="4" t="s">
        <v>50</v>
      </c>
      <c r="C31" t="s">
        <v>72</v>
      </c>
      <c r="E31">
        <f t="shared" si="1"/>
        <v>1.5</v>
      </c>
      <c r="G31" s="5">
        <f t="shared" si="2"/>
        <v>0</v>
      </c>
      <c r="I31" s="5">
        <f t="shared" si="3"/>
        <v>0</v>
      </c>
      <c r="K31" s="5">
        <f t="shared" si="4"/>
        <v>0</v>
      </c>
      <c r="L31">
        <v>10</v>
      </c>
      <c r="T31">
        <f t="shared" si="0"/>
        <v>10</v>
      </c>
      <c r="U31" s="5">
        <f t="shared" si="5"/>
        <v>1.5</v>
      </c>
      <c r="V31" t="s">
        <v>97</v>
      </c>
    </row>
    <row r="32" spans="1:22" x14ac:dyDescent="0.25">
      <c r="A32">
        <v>323216379</v>
      </c>
      <c r="B32" s="4" t="s">
        <v>51</v>
      </c>
      <c r="C32" t="s">
        <v>79</v>
      </c>
      <c r="E32">
        <f t="shared" si="1"/>
        <v>1.5</v>
      </c>
      <c r="G32" s="5">
        <f t="shared" si="2"/>
        <v>0</v>
      </c>
      <c r="I32" s="5">
        <f t="shared" si="3"/>
        <v>0</v>
      </c>
      <c r="K32" s="5">
        <f t="shared" si="4"/>
        <v>0</v>
      </c>
      <c r="L32">
        <v>10</v>
      </c>
      <c r="T32">
        <f t="shared" si="0"/>
        <v>10</v>
      </c>
      <c r="U32" s="5">
        <f t="shared" si="5"/>
        <v>1.5</v>
      </c>
      <c r="V32" t="s">
        <v>97</v>
      </c>
    </row>
    <row r="33" spans="1:22" x14ac:dyDescent="0.25">
      <c r="A33">
        <v>324075238</v>
      </c>
      <c r="B33" s="4" t="s">
        <v>52</v>
      </c>
      <c r="C33" t="s">
        <v>80</v>
      </c>
      <c r="E33">
        <f t="shared" si="1"/>
        <v>1.5</v>
      </c>
      <c r="G33" s="5">
        <f t="shared" si="2"/>
        <v>0</v>
      </c>
      <c r="I33" s="5">
        <f t="shared" si="3"/>
        <v>0</v>
      </c>
      <c r="K33" s="5">
        <f t="shared" si="4"/>
        <v>0</v>
      </c>
      <c r="L33">
        <v>10</v>
      </c>
      <c r="T33">
        <f t="shared" si="0"/>
        <v>10</v>
      </c>
      <c r="U33" s="5">
        <f t="shared" si="5"/>
        <v>1.5</v>
      </c>
      <c r="V33" t="s">
        <v>97</v>
      </c>
    </row>
    <row r="34" spans="1:22" x14ac:dyDescent="0.25">
      <c r="A34">
        <v>324072684</v>
      </c>
      <c r="B34" s="4" t="s">
        <v>53</v>
      </c>
      <c r="C34" t="s">
        <v>90</v>
      </c>
      <c r="E34">
        <f t="shared" si="1"/>
        <v>1.5</v>
      </c>
      <c r="G34" s="5">
        <f t="shared" si="2"/>
        <v>0</v>
      </c>
      <c r="I34" s="5">
        <f t="shared" si="3"/>
        <v>0</v>
      </c>
      <c r="K34" s="5">
        <f t="shared" si="4"/>
        <v>0</v>
      </c>
      <c r="L34">
        <v>10</v>
      </c>
      <c r="T34">
        <f t="shared" si="0"/>
        <v>10</v>
      </c>
      <c r="U34" s="5">
        <f t="shared" si="5"/>
        <v>1.5</v>
      </c>
      <c r="V34" t="s">
        <v>97</v>
      </c>
    </row>
    <row r="35" spans="1:22" x14ac:dyDescent="0.25">
      <c r="A35">
        <v>324081800</v>
      </c>
      <c r="B35" s="4" t="s">
        <v>54</v>
      </c>
      <c r="C35" t="s">
        <v>91</v>
      </c>
      <c r="E35">
        <f t="shared" si="1"/>
        <v>1.5</v>
      </c>
      <c r="G35" s="5">
        <f t="shared" si="2"/>
        <v>0</v>
      </c>
      <c r="I35" s="5">
        <f t="shared" si="3"/>
        <v>0</v>
      </c>
      <c r="K35" s="5">
        <f t="shared" si="4"/>
        <v>0</v>
      </c>
      <c r="L35">
        <v>10</v>
      </c>
      <c r="T35">
        <f t="shared" si="0"/>
        <v>10</v>
      </c>
      <c r="U35" s="5">
        <f t="shared" si="5"/>
        <v>1.5</v>
      </c>
      <c r="V35" t="s">
        <v>97</v>
      </c>
    </row>
    <row r="36" spans="1:22" x14ac:dyDescent="0.25">
      <c r="A36">
        <v>324072622</v>
      </c>
      <c r="B36" s="4" t="s">
        <v>99</v>
      </c>
      <c r="G36" s="5"/>
      <c r="I36" s="5"/>
      <c r="K36" s="5"/>
      <c r="L36">
        <v>10</v>
      </c>
      <c r="T36">
        <f t="shared" si="0"/>
        <v>10</v>
      </c>
      <c r="U36" s="5">
        <f t="shared" si="5"/>
        <v>1.5</v>
      </c>
      <c r="V36" t="s">
        <v>97</v>
      </c>
    </row>
    <row r="37" spans="1:22" x14ac:dyDescent="0.25">
      <c r="A37">
        <v>324021754</v>
      </c>
      <c r="B37" s="4" t="s">
        <v>55</v>
      </c>
      <c r="C37" t="s">
        <v>81</v>
      </c>
      <c r="E37">
        <f t="shared" si="1"/>
        <v>0</v>
      </c>
      <c r="G37" s="5">
        <f t="shared" si="2"/>
        <v>0</v>
      </c>
      <c r="I37" s="5">
        <f t="shared" si="3"/>
        <v>0</v>
      </c>
      <c r="K37" s="5">
        <f t="shared" si="4"/>
        <v>0</v>
      </c>
      <c r="L37">
        <v>0</v>
      </c>
      <c r="T37">
        <f t="shared" si="0"/>
        <v>0</v>
      </c>
      <c r="U37" s="5">
        <f t="shared" si="5"/>
        <v>0</v>
      </c>
      <c r="V37" t="s">
        <v>98</v>
      </c>
    </row>
    <row r="38" spans="1:22" x14ac:dyDescent="0.25">
      <c r="A38">
        <v>324067435</v>
      </c>
      <c r="B38" s="4" t="s">
        <v>56</v>
      </c>
      <c r="C38" t="s">
        <v>92</v>
      </c>
      <c r="E38">
        <f t="shared" si="1"/>
        <v>1.5</v>
      </c>
      <c r="G38" s="5">
        <f t="shared" si="2"/>
        <v>0</v>
      </c>
      <c r="I38" s="5">
        <f t="shared" si="3"/>
        <v>0</v>
      </c>
      <c r="K38" s="5">
        <f t="shared" si="4"/>
        <v>0</v>
      </c>
      <c r="L38">
        <v>10</v>
      </c>
      <c r="T38">
        <f t="shared" si="0"/>
        <v>10</v>
      </c>
      <c r="U38" s="5">
        <f t="shared" si="5"/>
        <v>1.5</v>
      </c>
      <c r="V38" t="s">
        <v>97</v>
      </c>
    </row>
    <row r="39" spans="1:22" x14ac:dyDescent="0.25">
      <c r="A39">
        <v>324022029</v>
      </c>
      <c r="B39" s="4" t="s">
        <v>57</v>
      </c>
      <c r="C39" t="s">
        <v>82</v>
      </c>
      <c r="E39">
        <f t="shared" si="1"/>
        <v>1.5</v>
      </c>
      <c r="G39" s="5">
        <f t="shared" si="2"/>
        <v>0</v>
      </c>
      <c r="I39" s="5">
        <f t="shared" si="3"/>
        <v>0</v>
      </c>
      <c r="K39" s="5">
        <f t="shared" si="4"/>
        <v>0</v>
      </c>
      <c r="L39">
        <v>10</v>
      </c>
      <c r="T39">
        <f t="shared" si="0"/>
        <v>10</v>
      </c>
      <c r="U39" s="5">
        <f t="shared" si="5"/>
        <v>1.5</v>
      </c>
      <c r="V39" t="s">
        <v>97</v>
      </c>
    </row>
    <row r="40" spans="1:22" x14ac:dyDescent="0.25">
      <c r="A40">
        <v>324058240</v>
      </c>
      <c r="B40" s="4" t="s">
        <v>58</v>
      </c>
      <c r="C40" t="s">
        <v>70</v>
      </c>
      <c r="E40">
        <f t="shared" si="1"/>
        <v>1.5</v>
      </c>
      <c r="G40" s="5">
        <f t="shared" si="2"/>
        <v>0</v>
      </c>
      <c r="I40" s="5">
        <f t="shared" si="3"/>
        <v>0</v>
      </c>
      <c r="K40" s="5">
        <f t="shared" si="4"/>
        <v>0</v>
      </c>
      <c r="L40">
        <v>10</v>
      </c>
      <c r="T40">
        <f t="shared" si="0"/>
        <v>10</v>
      </c>
      <c r="U40" s="5">
        <f t="shared" si="5"/>
        <v>1.5</v>
      </c>
      <c r="V40" t="s">
        <v>97</v>
      </c>
    </row>
    <row r="41" spans="1:22" x14ac:dyDescent="0.25">
      <c r="B41" s="4" t="s">
        <v>94</v>
      </c>
    </row>
    <row r="42" spans="1:22" x14ac:dyDescent="0.25">
      <c r="B42" s="4" t="s">
        <v>95</v>
      </c>
      <c r="L42">
        <v>10</v>
      </c>
      <c r="V42" t="s">
        <v>97</v>
      </c>
    </row>
  </sheetData>
  <autoFilter ref="A1:V42" xr:uid="{D00BE368-B81F-4575-8C81-D1F6583D781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Rodriguez García</dc:creator>
  <cp:lastModifiedBy>Daniel Rodriguez García</cp:lastModifiedBy>
  <dcterms:created xsi:type="dcterms:W3CDTF">2026-05-20T20:06:54Z</dcterms:created>
  <dcterms:modified xsi:type="dcterms:W3CDTF">2026-05-24T19:24:39Z</dcterms:modified>
</cp:coreProperties>
</file>